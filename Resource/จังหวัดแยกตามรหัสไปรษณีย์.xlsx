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<sst xmlns="http://schemas.openxmlformats.org/spreadsheetml/2006/main" count="1587" uniqueCount="861">
  <si>
    <t>Postcode</t>
  </si>
  <si>
    <t>State</t>
  </si>
  <si>
    <t>Place Name</t>
  </si>
  <si>
    <t>Region</t>
  </si>
  <si>
    <t>Bangkok</t>
  </si>
  <si>
    <t>Samphanthawong</t>
  </si>
  <si>
    <t>Middle</t>
  </si>
  <si>
    <t>Wattana</t>
  </si>
  <si>
    <t>East</t>
  </si>
  <si>
    <t>Bang Kholame</t>
  </si>
  <si>
    <t>East/North (L)</t>
  </si>
  <si>
    <t>ตอนล่าง</t>
  </si>
  <si>
    <t>Samut Prakan</t>
  </si>
  <si>
    <t>Phra Pradaeng</t>
  </si>
  <si>
    <t>East/North (T)</t>
  </si>
  <si>
    <t>ตอนบน</t>
  </si>
  <si>
    <t>Thung Khru</t>
  </si>
  <si>
    <t>North (T)</t>
  </si>
  <si>
    <t>Bang Bon</t>
  </si>
  <si>
    <t>North</t>
  </si>
  <si>
    <t>ตอนล่าง (กลางตอนบน)</t>
  </si>
  <si>
    <t>Nong Khaem</t>
  </si>
  <si>
    <t>West</t>
  </si>
  <si>
    <t>Thawi Wattana</t>
  </si>
  <si>
    <t>South</t>
  </si>
  <si>
    <t>Phra Nakhon</t>
  </si>
  <si>
    <t>Lak Si</t>
  </si>
  <si>
    <t>Sai Mai</t>
  </si>
  <si>
    <t>Lat Phrao</t>
  </si>
  <si>
    <t>Saphan Sung B39</t>
  </si>
  <si>
    <t>Pra Vet</t>
  </si>
  <si>
    <t>Phra Khanong</t>
  </si>
  <si>
    <t>Muang Samut Prakan</t>
  </si>
  <si>
    <t>Phra Samut Chedi</t>
  </si>
  <si>
    <t>Dusit</t>
  </si>
  <si>
    <t>Wangthong Lang</t>
  </si>
  <si>
    <t>Huai Khwang</t>
  </si>
  <si>
    <t>Pahtum Wan</t>
  </si>
  <si>
    <t>Ding Daeng</t>
  </si>
  <si>
    <t>Bang Rak</t>
  </si>
  <si>
    <t>Khlong Samwa</t>
  </si>
  <si>
    <t>Lat Krabang</t>
  </si>
  <si>
    <t>Nong Chok</t>
  </si>
  <si>
    <t>Bang Saotong</t>
  </si>
  <si>
    <t>Bang Bo</t>
  </si>
  <si>
    <t>Thon Buri</t>
  </si>
  <si>
    <t>Bangkok Noi</t>
  </si>
  <si>
    <t>Bang Su</t>
  </si>
  <si>
    <t>Nonthaburi</t>
  </si>
  <si>
    <t>Muang Nonthaburi</t>
  </si>
  <si>
    <t>Bang Bua Thong</t>
  </si>
  <si>
    <t>Pak Kret</t>
  </si>
  <si>
    <t>count</t>
  </si>
  <si>
    <t>Complete</t>
  </si>
  <si>
    <t>Bang Kruai</t>
  </si>
  <si>
    <t>Bang Yai</t>
  </si>
  <si>
    <t>Sai Noi</t>
  </si>
  <si>
    <t>Pathum Thani</t>
  </si>
  <si>
    <t>Muang Pathum Thani</t>
  </si>
  <si>
    <t>Thanyaburi</t>
  </si>
  <si>
    <t>Khlong Luang</t>
  </si>
  <si>
    <t>Lat Lum Kaeo</t>
  </si>
  <si>
    <t>Lam Luk Ka</t>
  </si>
  <si>
    <t>Sam Khok</t>
  </si>
  <si>
    <t>Nong Sua</t>
  </si>
  <si>
    <t>Phranakhon Si Ayutthaya</t>
  </si>
  <si>
    <t>Pharnakhon Si Ayutthaya</t>
  </si>
  <si>
    <t>Sena</t>
  </si>
  <si>
    <t>Pak Hai</t>
  </si>
  <si>
    <t>Tha Rua</t>
  </si>
  <si>
    <t>Phachi</t>
  </si>
  <si>
    <t>Maha Rat</t>
  </si>
  <si>
    <t>Bang Pa-In</t>
  </si>
  <si>
    <t>Wang Noi</t>
  </si>
  <si>
    <t>Bang Sai</t>
  </si>
  <si>
    <t>Uthai</t>
  </si>
  <si>
    <t>Bang Pahan</t>
  </si>
  <si>
    <t>Lat Bua Luang</t>
  </si>
  <si>
    <t>Ban Phraek</t>
  </si>
  <si>
    <t>Bang Ban</t>
  </si>
  <si>
    <t>Nakhon Luang</t>
  </si>
  <si>
    <t>Ang Thong</t>
  </si>
  <si>
    <t>Muang ANG THONG</t>
  </si>
  <si>
    <t>Wiset Chai Chan</t>
  </si>
  <si>
    <t>Pho Thong</t>
  </si>
  <si>
    <t>Pa Mok</t>
  </si>
  <si>
    <t>Chaiyo</t>
  </si>
  <si>
    <t>Sawaengha</t>
  </si>
  <si>
    <t>Samko</t>
  </si>
  <si>
    <t>Lopburi</t>
  </si>
  <si>
    <t>Muang Lopburi</t>
  </si>
  <si>
    <t>Ban Mi</t>
  </si>
  <si>
    <t>Khok Samrong</t>
  </si>
  <si>
    <t>Chai Badan</t>
  </si>
  <si>
    <t>Phattana Nikhom</t>
  </si>
  <si>
    <t>Tha Wung</t>
  </si>
  <si>
    <t>Nong Muang</t>
  </si>
  <si>
    <t>Lum Sunthi</t>
  </si>
  <si>
    <t>Sa Bot</t>
  </si>
  <si>
    <t>Khok Charoen</t>
  </si>
  <si>
    <t>Singburi</t>
  </si>
  <si>
    <t>Muang Sing Buri</t>
  </si>
  <si>
    <t>In Buri</t>
  </si>
  <si>
    <t>Phrom Buri</t>
  </si>
  <si>
    <t>Bang Rachan</t>
  </si>
  <si>
    <t>Tha Chang</t>
  </si>
  <si>
    <t>Khai Bang Rachan</t>
  </si>
  <si>
    <t>Chainat</t>
  </si>
  <si>
    <t>Muang Chainat</t>
  </si>
  <si>
    <t>Nong Mamong</t>
  </si>
  <si>
    <t>Manorom</t>
  </si>
  <si>
    <t>Wat Sing</t>
  </si>
  <si>
    <t>Non Kham</t>
  </si>
  <si>
    <t>Sankhaburi</t>
  </si>
  <si>
    <t>Sanphaya</t>
  </si>
  <si>
    <t>Saraburi</t>
  </si>
  <si>
    <t>Muang Saraburi</t>
  </si>
  <si>
    <t>Kaeng Khoi</t>
  </si>
  <si>
    <t>Phra Phutthabat</t>
  </si>
  <si>
    <t>Ban Mo</t>
  </si>
  <si>
    <t>Nong Khae</t>
  </si>
  <si>
    <t>Wihan Daeng</t>
  </si>
  <si>
    <t>Sao Hai</t>
  </si>
  <si>
    <t>Nong Saeng</t>
  </si>
  <si>
    <t>Muak Lek</t>
  </si>
  <si>
    <t>Nong Doan</t>
  </si>
  <si>
    <t>Don Phut</t>
  </si>
  <si>
    <t>Wang Muang</t>
  </si>
  <si>
    <t>Chonburi</t>
  </si>
  <si>
    <t>Muang Chonburi</t>
  </si>
  <si>
    <t>Si Racha</t>
  </si>
  <si>
    <t>Ko Sichang</t>
  </si>
  <si>
    <t>Phanat Nikhom</t>
  </si>
  <si>
    <t>Bang Lamung</t>
  </si>
  <si>
    <t>Phan Thong</t>
  </si>
  <si>
    <t>Ban Bung</t>
  </si>
  <si>
    <t>Sattahip</t>
  </si>
  <si>
    <t>Nong Yai</t>
  </si>
  <si>
    <t>Ko Chan</t>
  </si>
  <si>
    <t>Bo Thong</t>
  </si>
  <si>
    <t>Rayong</t>
  </si>
  <si>
    <t>Muang Rayong</t>
  </si>
  <si>
    <t>Khao Chamao</t>
  </si>
  <si>
    <t>Ban Khai</t>
  </si>
  <si>
    <t>Ban Chang</t>
  </si>
  <si>
    <t>Pluak Daeng</t>
  </si>
  <si>
    <t>Nikhom Pattana</t>
  </si>
  <si>
    <t>Wang Chan</t>
  </si>
  <si>
    <t>Chanthaburi</t>
  </si>
  <si>
    <t>Muang Chanthaburi</t>
  </si>
  <si>
    <t>Khlung</t>
  </si>
  <si>
    <t>Tha Mai</t>
  </si>
  <si>
    <t>Laem Sing</t>
  </si>
  <si>
    <t>Pong Nam Ron</t>
  </si>
  <si>
    <t>Makham</t>
  </si>
  <si>
    <t>Na Yai Am</t>
  </si>
  <si>
    <t>Soi Dao</t>
  </si>
  <si>
    <t>Khao Kitchakut</t>
  </si>
  <si>
    <t>Trat</t>
  </si>
  <si>
    <t>Muang Trat</t>
  </si>
  <si>
    <t>Khlong Yai</t>
  </si>
  <si>
    <t>Ko Chang</t>
  </si>
  <si>
    <t>Khao Saming</t>
  </si>
  <si>
    <t>Bo Rai</t>
  </si>
  <si>
    <t>Chachoengsao</t>
  </si>
  <si>
    <t>Khlong Kaen</t>
  </si>
  <si>
    <t>Bang Khla</t>
  </si>
  <si>
    <t>Rachsan</t>
  </si>
  <si>
    <t>Bang Pakong</t>
  </si>
  <si>
    <t>Ban Pho</t>
  </si>
  <si>
    <t>Bang Nam Prieo</t>
  </si>
  <si>
    <t>Sanam Chai Khet</t>
  </si>
  <si>
    <t>Paeng Yao</t>
  </si>
  <si>
    <t>Prachinburi</t>
  </si>
  <si>
    <t>Muang Prachinburi</t>
  </si>
  <si>
    <t>Kabin Buri</t>
  </si>
  <si>
    <t>Prachantakham</t>
  </si>
  <si>
    <t>Si Maha Phot</t>
  </si>
  <si>
    <t>Ban Sang</t>
  </si>
  <si>
    <t>Khok Pip</t>
  </si>
  <si>
    <t>Na Di</t>
  </si>
  <si>
    <t>Nakhon Nayok</t>
  </si>
  <si>
    <t>Muang Nakhon Nayok</t>
  </si>
  <si>
    <t>Ban Na</t>
  </si>
  <si>
    <t>Ongkarak</t>
  </si>
  <si>
    <t>Pak Phli</t>
  </si>
  <si>
    <t>Sa Kaeo</t>
  </si>
  <si>
    <t>Muang Sa Kaeo</t>
  </si>
  <si>
    <t>Wang Nam Yen</t>
  </si>
  <si>
    <t>Wattana Nakhon</t>
  </si>
  <si>
    <t>Ta Phraya</t>
  </si>
  <si>
    <t>Wang Sombun</t>
  </si>
  <si>
    <t>Khlong Hat</t>
  </si>
  <si>
    <t>Nakhon Ratchasima</t>
  </si>
  <si>
    <t>Muang Nakhon Ratchasima</t>
  </si>
  <si>
    <t>Phimai</t>
  </si>
  <si>
    <t>Bua Lai</t>
  </si>
  <si>
    <t>Pak Chong</t>
  </si>
  <si>
    <t>Sikhiu</t>
  </si>
  <si>
    <t>Pak Thong Chai</t>
  </si>
  <si>
    <t>Non Sung</t>
  </si>
  <si>
    <t>Sung Noen</t>
  </si>
  <si>
    <t>Prathai</t>
  </si>
  <si>
    <t>Chok Chai</t>
  </si>
  <si>
    <t>Theparak</t>
  </si>
  <si>
    <t>Non Thai</t>
  </si>
  <si>
    <t>Cheleam Phakiat</t>
  </si>
  <si>
    <t>Huai Thalaeng</t>
  </si>
  <si>
    <t>Khon Buri</t>
  </si>
  <si>
    <t>Khong</t>
  </si>
  <si>
    <t>Chum Phuang</t>
  </si>
  <si>
    <t>Kham Thale So</t>
  </si>
  <si>
    <t>Kham Sakae Saeng</t>
  </si>
  <si>
    <t>Soeng Sang</t>
  </si>
  <si>
    <t>Ban Luam</t>
  </si>
  <si>
    <t>Non Daeng</t>
  </si>
  <si>
    <t>Wang Nam Khyo</t>
  </si>
  <si>
    <t>Nong Bunnak</t>
  </si>
  <si>
    <t>Sida</t>
  </si>
  <si>
    <t>Kang Sanam Nang</t>
  </si>
  <si>
    <t>Burirum</t>
  </si>
  <si>
    <t>Ban Dan</t>
  </si>
  <si>
    <t>Nang Rong</t>
  </si>
  <si>
    <t>Phutthaisong</t>
  </si>
  <si>
    <t>Lam Phai Mat</t>
  </si>
  <si>
    <t>Prakhon Chai</t>
  </si>
  <si>
    <t>Kandong</t>
  </si>
  <si>
    <t>Krasang</t>
  </si>
  <si>
    <t>Lahan Sai</t>
  </si>
  <si>
    <t>Ban Kruat</t>
  </si>
  <si>
    <t>Khu Muang</t>
  </si>
  <si>
    <t>Nong Ki</t>
  </si>
  <si>
    <t>Pak Kam</t>
  </si>
  <si>
    <t>Na Pho</t>
  </si>
  <si>
    <t>Nong Hong</t>
  </si>
  <si>
    <t>Ban Phlapphla</t>
  </si>
  <si>
    <t>Non Dindaeng</t>
  </si>
  <si>
    <t>Sisaket</t>
  </si>
  <si>
    <t>Muang Sisaket</t>
  </si>
  <si>
    <t>Kantharalak</t>
  </si>
  <si>
    <t>Po Sri Suwan</t>
  </si>
  <si>
    <t>Nam Kliang</t>
  </si>
  <si>
    <t>Khukhan</t>
  </si>
  <si>
    <t>Khun Han</t>
  </si>
  <si>
    <t>Silalad</t>
  </si>
  <si>
    <t>Prang Ku</t>
  </si>
  <si>
    <t>Phrai Bung</t>
  </si>
  <si>
    <t>Yang Chum Noi</t>
  </si>
  <si>
    <t>Huai Thap Than</t>
  </si>
  <si>
    <t>Bung Bun</t>
  </si>
  <si>
    <t>Phayu</t>
  </si>
  <si>
    <t>Si Rattana</t>
  </si>
  <si>
    <t>Non Khun</t>
  </si>
  <si>
    <t>Wang Hin</t>
  </si>
  <si>
    <t>Ubon Ratchathani</t>
  </si>
  <si>
    <t>Don Moddang</t>
  </si>
  <si>
    <t>Na Tan</t>
  </si>
  <si>
    <t>Phibun Mangsahan</t>
  </si>
  <si>
    <t>Trakan Puetphon</t>
  </si>
  <si>
    <t>Muang Samsib</t>
  </si>
  <si>
    <t>Khuang Nai</t>
  </si>
  <si>
    <t>Det Udom</t>
  </si>
  <si>
    <t>Khemarat</t>
  </si>
  <si>
    <t>Sawang Werarong</t>
  </si>
  <si>
    <t>Khong Chiam</t>
  </si>
  <si>
    <t>Buntharik</t>
  </si>
  <si>
    <t>Si Muang Mai</t>
  </si>
  <si>
    <t>Nam Khun</t>
  </si>
  <si>
    <t>Kut Khaopun</t>
  </si>
  <si>
    <t>Na Chaluai</t>
  </si>
  <si>
    <t>Tan Sum</t>
  </si>
  <si>
    <t>Po Sai</t>
  </si>
  <si>
    <t>Sirinhon</t>
  </si>
  <si>
    <t>Samrong</t>
  </si>
  <si>
    <t>Yasothon</t>
  </si>
  <si>
    <t>Muang Yasothon</t>
  </si>
  <si>
    <t>Kham Khuan Kaeo</t>
  </si>
  <si>
    <t>Loeng Nok Tha</t>
  </si>
  <si>
    <t>Maha Chana Chai</t>
  </si>
  <si>
    <t>Kud Chum</t>
  </si>
  <si>
    <t>Pa Tiu</t>
  </si>
  <si>
    <t>Kho Wang</t>
  </si>
  <si>
    <t>Sai Mun</t>
  </si>
  <si>
    <t>Chaiyaphum</t>
  </si>
  <si>
    <t>Muang Chaiyaphum</t>
  </si>
  <si>
    <t>Phu Khieo</t>
  </si>
  <si>
    <t>Kaset Sombun</t>
  </si>
  <si>
    <t>Sub Yai</t>
  </si>
  <si>
    <t>Khon Sawan</t>
  </si>
  <si>
    <t>Kaeng Khro</t>
  </si>
  <si>
    <t>Bamnet Narong</t>
  </si>
  <si>
    <t>Ban Khwao</t>
  </si>
  <si>
    <t>Khon San</t>
  </si>
  <si>
    <t>Ban Thaen</t>
  </si>
  <si>
    <t>Nong Bua Daeng</t>
  </si>
  <si>
    <t>Thep Satthit</t>
  </si>
  <si>
    <t>Nong Bua Rawe</t>
  </si>
  <si>
    <t>Phakdi Chumpon</t>
  </si>
  <si>
    <t>Amnat Charoen</t>
  </si>
  <si>
    <t>Lua Amnart</t>
  </si>
  <si>
    <t>Phathumratvongsa</t>
  </si>
  <si>
    <t>Phana</t>
  </si>
  <si>
    <t>Chanunman</t>
  </si>
  <si>
    <t>Hua Taphan</t>
  </si>
  <si>
    <t>Senangkhanikhorn</t>
  </si>
  <si>
    <t>Bueng Kan</t>
  </si>
  <si>
    <t>Seka</t>
  </si>
  <si>
    <t>So Phisai</t>
  </si>
  <si>
    <t>Mueang Bueng Kan</t>
  </si>
  <si>
    <t>Bueng Khong Long</t>
  </si>
  <si>
    <t>Bung Khla</t>
  </si>
  <si>
    <t>Pak Khat</t>
  </si>
  <si>
    <t>Phon Charoen</t>
  </si>
  <si>
    <t>Si Wilai</t>
  </si>
  <si>
    <t>Non Bua Lam Phu</t>
  </si>
  <si>
    <t>Muang Nong Bua Lam Phu</t>
  </si>
  <si>
    <t>Non Sang</t>
  </si>
  <si>
    <t>Na Klang</t>
  </si>
  <si>
    <t>Si Bun Ruang</t>
  </si>
  <si>
    <t>Suwannakhuha</t>
  </si>
  <si>
    <t>Khon Kaen</t>
  </si>
  <si>
    <t>Muang Khonkaen</t>
  </si>
  <si>
    <t>Ban Had</t>
  </si>
  <si>
    <t>Phon</t>
  </si>
  <si>
    <t>Chum Phae</t>
  </si>
  <si>
    <t>Nam Phong</t>
  </si>
  <si>
    <t>Nong Nakham</t>
  </si>
  <si>
    <t>Khok Phochai</t>
  </si>
  <si>
    <t>Sum Sung</t>
  </si>
  <si>
    <t>Chonnabot</t>
  </si>
  <si>
    <t>Nong Song Hong</t>
  </si>
  <si>
    <t>Nong Rua</t>
  </si>
  <si>
    <t>Si Chomphu</t>
  </si>
  <si>
    <t>Waeng Noi</t>
  </si>
  <si>
    <t>Ubolratana</t>
  </si>
  <si>
    <t>Ban Fang</t>
  </si>
  <si>
    <t>Khao Suan Kwang</t>
  </si>
  <si>
    <t>Phra Yun</t>
  </si>
  <si>
    <t>Waeng Yai</t>
  </si>
  <si>
    <t>Puai Noi</t>
  </si>
  <si>
    <t>Phu Pha Man</t>
  </si>
  <si>
    <t>Udon Thani</t>
  </si>
  <si>
    <t>Muang Udon Thani</t>
  </si>
  <si>
    <t>Phrachuk Siliakram</t>
  </si>
  <si>
    <t>Pibun Rak</t>
  </si>
  <si>
    <t>Phen</t>
  </si>
  <si>
    <t>Ban Dung</t>
  </si>
  <si>
    <t>Nam Som</t>
  </si>
  <si>
    <t>Nong Wua So</t>
  </si>
  <si>
    <t>Si That</t>
  </si>
  <si>
    <t>Non Sa-at</t>
  </si>
  <si>
    <t>Kut Chab</t>
  </si>
  <si>
    <t>Sang Khom</t>
  </si>
  <si>
    <t>Chaiwan</t>
  </si>
  <si>
    <t>Thung Fon</t>
  </si>
  <si>
    <t>Na Yung</t>
  </si>
  <si>
    <t>Loei</t>
  </si>
  <si>
    <t>Muang Loei</t>
  </si>
  <si>
    <t>Chiang Khan</t>
  </si>
  <si>
    <t>Dan Sai</t>
  </si>
  <si>
    <t>Wang Saphung</t>
  </si>
  <si>
    <t>Tha Li</t>
  </si>
  <si>
    <t>Pak Chom</t>
  </si>
  <si>
    <t>Phu Rua</t>
  </si>
  <si>
    <t>Na Haeo</t>
  </si>
  <si>
    <t>Phu Kradung</t>
  </si>
  <si>
    <t>Na Duang</t>
  </si>
  <si>
    <t>Phu Luang</t>
  </si>
  <si>
    <t>Pha Khao</t>
  </si>
  <si>
    <t>Nong Khai</t>
  </si>
  <si>
    <t>Muang Nong Khai</t>
  </si>
  <si>
    <t>Sra Khai</t>
  </si>
  <si>
    <t>Tha Bo</t>
  </si>
  <si>
    <t>Phon Phisai</t>
  </si>
  <si>
    <t>Po Tak</t>
  </si>
  <si>
    <t>Bung Kla</t>
  </si>
  <si>
    <t>Bung Khong Long</t>
  </si>
  <si>
    <t>Maha Sarakham</t>
  </si>
  <si>
    <t>Muang Maha Sarakham</t>
  </si>
  <si>
    <t>Phayakkhaphum Phisai</t>
  </si>
  <si>
    <t>Wapi Pathum</t>
  </si>
  <si>
    <t>Borabu</t>
  </si>
  <si>
    <t>Kosum Phisai</t>
  </si>
  <si>
    <t>Kantharawichai</t>
  </si>
  <si>
    <t>Chuan Chum</t>
  </si>
  <si>
    <t>Na Chuak</t>
  </si>
  <si>
    <t>Na Dun</t>
  </si>
  <si>
    <t>Kae Dam</t>
  </si>
  <si>
    <t>Yang Si Surat</t>
  </si>
  <si>
    <t>Roi Et</t>
  </si>
  <si>
    <t>Chang Han</t>
  </si>
  <si>
    <t>Phon Thong</t>
  </si>
  <si>
    <t>Salaphum</t>
  </si>
  <si>
    <t>Suwannaphum</t>
  </si>
  <si>
    <t>Nong Hi</t>
  </si>
  <si>
    <t>Kaset Wisai</t>
  </si>
  <si>
    <t>At Samat</t>
  </si>
  <si>
    <t>Thawatchaburi</t>
  </si>
  <si>
    <t>Chaturaphak Phiman</t>
  </si>
  <si>
    <t>Pathum Rat</t>
  </si>
  <si>
    <t>Nong Phok</t>
  </si>
  <si>
    <t>Muang Suang</t>
  </si>
  <si>
    <t>Pho Chai</t>
  </si>
  <si>
    <t>Phon Sai</t>
  </si>
  <si>
    <t>Moeiyawadi</t>
  </si>
  <si>
    <t>Kalasin</t>
  </si>
  <si>
    <t>Muang Kalasin</t>
  </si>
  <si>
    <t>Kuchinarai</t>
  </si>
  <si>
    <t>Yang Talat</t>
  </si>
  <si>
    <t>Kamalasai</t>
  </si>
  <si>
    <t>Sahatsakhan</t>
  </si>
  <si>
    <t>Somdet</t>
  </si>
  <si>
    <t>Khao Wong</t>
  </si>
  <si>
    <t>Huai Mek</t>
  </si>
  <si>
    <t>Kham Muang</t>
  </si>
  <si>
    <t>Tha Khantho</t>
  </si>
  <si>
    <t>Rong Kham</t>
  </si>
  <si>
    <t>Nong Kung Si</t>
  </si>
  <si>
    <t>Na Mon</t>
  </si>
  <si>
    <t>Huai Phung</t>
  </si>
  <si>
    <t>Sakon Nakhon</t>
  </si>
  <si>
    <t>Muang Sakon Nakhon</t>
  </si>
  <si>
    <t>Sawang Daen Din</t>
  </si>
  <si>
    <t>Wanon Niwat</t>
  </si>
  <si>
    <t>Phanna Nikhom</t>
  </si>
  <si>
    <t>Ban Muang</t>
  </si>
  <si>
    <t>Waritchaphum</t>
  </si>
  <si>
    <t>Phang Khon</t>
  </si>
  <si>
    <t>Akat Amnuai</t>
  </si>
  <si>
    <t>Phu Phan</t>
  </si>
  <si>
    <t>Song Dao</t>
  </si>
  <si>
    <t>Kusuman</t>
  </si>
  <si>
    <t>Pon Nakaew</t>
  </si>
  <si>
    <t>Kham Ta Kla</t>
  </si>
  <si>
    <t>Tao Ngoi</t>
  </si>
  <si>
    <t>Nikhom Nam Un</t>
  </si>
  <si>
    <t>Khok Si Supan</t>
  </si>
  <si>
    <t>Charoensin</t>
  </si>
  <si>
    <t>Nakhon Phanom</t>
  </si>
  <si>
    <t>Muang Nakhon Phanom</t>
  </si>
  <si>
    <t>That Phanom</t>
  </si>
  <si>
    <t>Tha Uthen</t>
  </si>
  <si>
    <t>Wang Yang</t>
  </si>
  <si>
    <t>Na Thom</t>
  </si>
  <si>
    <t>Si Songkhram</t>
  </si>
  <si>
    <t>Pla Pak</t>
  </si>
  <si>
    <t>Renu Nakhon</t>
  </si>
  <si>
    <t>Na Wa</t>
  </si>
  <si>
    <t>Phon Sawan</t>
  </si>
  <si>
    <t>Mukdahan</t>
  </si>
  <si>
    <t>Muang Mukdahan</t>
  </si>
  <si>
    <t>Khamcha-I</t>
  </si>
  <si>
    <t>Don Tan</t>
  </si>
  <si>
    <t>Nikhom Kham Soi</t>
  </si>
  <si>
    <t>Don Luang</t>
  </si>
  <si>
    <t>Wan Yai</t>
  </si>
  <si>
    <t>Nong Sung</t>
  </si>
  <si>
    <t>Chiang Mai</t>
  </si>
  <si>
    <t>Muang Chiang Mai</t>
  </si>
  <si>
    <t>Fang</t>
  </si>
  <si>
    <t>San Pa Tong</t>
  </si>
  <si>
    <t>San Kamphaeng</t>
  </si>
  <si>
    <t>Saraphi</t>
  </si>
  <si>
    <t>Mae Taeng</t>
  </si>
  <si>
    <t>Doi Lor</t>
  </si>
  <si>
    <t>Chiang Dao</t>
  </si>
  <si>
    <t>Mae Rim</t>
  </si>
  <si>
    <t>Phrao</t>
  </si>
  <si>
    <t>San Sai</t>
  </si>
  <si>
    <t>Doi Saket</t>
  </si>
  <si>
    <t>Hang Dong</t>
  </si>
  <si>
    <t>Hot</t>
  </si>
  <si>
    <t>Samoeng</t>
  </si>
  <si>
    <t>Doi Tao</t>
  </si>
  <si>
    <t>Mae Chaem</t>
  </si>
  <si>
    <t>Mae Ai</t>
  </si>
  <si>
    <t>Omkoi</t>
  </si>
  <si>
    <t>Chai Prakarn</t>
  </si>
  <si>
    <t>Weang Hang</t>
  </si>
  <si>
    <t>Mae Wang</t>
  </si>
  <si>
    <t>Lamphun</t>
  </si>
  <si>
    <t>Muang Lamphun</t>
  </si>
  <si>
    <t>Li</t>
  </si>
  <si>
    <t>Pa Sang</t>
  </si>
  <si>
    <t>Ban Hong</t>
  </si>
  <si>
    <t>Mae Tha</t>
  </si>
  <si>
    <t>Thung Hua Chang</t>
  </si>
  <si>
    <t>Ban Thi</t>
  </si>
  <si>
    <t>Lampang</t>
  </si>
  <si>
    <t>Muang Lampang</t>
  </si>
  <si>
    <t>Ngao</t>
  </si>
  <si>
    <t>Chae Hom</t>
  </si>
  <si>
    <t>Ko Kha</t>
  </si>
  <si>
    <t>Wang Nua</t>
  </si>
  <si>
    <t>Thoen</t>
  </si>
  <si>
    <t>Sop Prap</t>
  </si>
  <si>
    <t>Mae Phrik</t>
  </si>
  <si>
    <t>Hang Chat</t>
  </si>
  <si>
    <t>Soem Ngam</t>
  </si>
  <si>
    <t>Mae Mo</t>
  </si>
  <si>
    <t>Muang Pan</t>
  </si>
  <si>
    <t>Uttaradit</t>
  </si>
  <si>
    <t>Muang Uttaradit</t>
  </si>
  <si>
    <t>Nam Pat</t>
  </si>
  <si>
    <t>Phichai</t>
  </si>
  <si>
    <t>Laplae</t>
  </si>
  <si>
    <t>Tron</t>
  </si>
  <si>
    <t>Tha Pla</t>
  </si>
  <si>
    <t>Fak Tha</t>
  </si>
  <si>
    <t>Ban Khok</t>
  </si>
  <si>
    <t>Tong Saen Khan</t>
  </si>
  <si>
    <t>Phrae</t>
  </si>
  <si>
    <t>Muang Phrae</t>
  </si>
  <si>
    <t>Song</t>
  </si>
  <si>
    <t>Sung Men</t>
  </si>
  <si>
    <t>Den Chai</t>
  </si>
  <si>
    <t>Long</t>
  </si>
  <si>
    <t>Wang Chin</t>
  </si>
  <si>
    <t>Nong Muangkhai</t>
  </si>
  <si>
    <t>Nan</t>
  </si>
  <si>
    <t>Phu Piang</t>
  </si>
  <si>
    <t>Wiang Sa</t>
  </si>
  <si>
    <t>Pua</t>
  </si>
  <si>
    <t>Thung Chang</t>
  </si>
  <si>
    <t>Tha Wang Pha</t>
  </si>
  <si>
    <t>Na Noi</t>
  </si>
  <si>
    <t>Song Khaew</t>
  </si>
  <si>
    <t>Mae Charim</t>
  </si>
  <si>
    <t>Na Mun</t>
  </si>
  <si>
    <t>Ban Luang</t>
  </si>
  <si>
    <t>Bo Klua</t>
  </si>
  <si>
    <t>Phayao</t>
  </si>
  <si>
    <t>Muang Phayao</t>
  </si>
  <si>
    <t>Chiang Kham</t>
  </si>
  <si>
    <t>Dok Kham Tai</t>
  </si>
  <si>
    <t>Mae Chai</t>
  </si>
  <si>
    <t>Pong</t>
  </si>
  <si>
    <t>Chun</t>
  </si>
  <si>
    <t>Chiacg Muan</t>
  </si>
  <si>
    <t>Chiang Rai</t>
  </si>
  <si>
    <t>Muang Chiang Rai</t>
  </si>
  <si>
    <t>Mae Pha Luang</t>
  </si>
  <si>
    <t>Phan</t>
  </si>
  <si>
    <t>Mae Sai</t>
  </si>
  <si>
    <t>Chiang Khong</t>
  </si>
  <si>
    <t>Chiang Saen</t>
  </si>
  <si>
    <t>Thoeng</t>
  </si>
  <si>
    <t>Wiang Pa Pao</t>
  </si>
  <si>
    <t>Mae Suai</t>
  </si>
  <si>
    <t>Pa Daet</t>
  </si>
  <si>
    <t>Wiang Chai</t>
  </si>
  <si>
    <t>Mae Lao</t>
  </si>
  <si>
    <t>Phaya Mengrai</t>
  </si>
  <si>
    <t>Wiang Kaen</t>
  </si>
  <si>
    <t>Khun Tan</t>
  </si>
  <si>
    <t>Mae Hong Son</t>
  </si>
  <si>
    <t>Muang Mae Hong Son</t>
  </si>
  <si>
    <t>Sop Moei</t>
  </si>
  <si>
    <t>Mae La Noi</t>
  </si>
  <si>
    <t>Pai</t>
  </si>
  <si>
    <t>Khun Yuam</t>
  </si>
  <si>
    <t>Pang Mapha</t>
  </si>
  <si>
    <t>Nakhon Sawan</t>
  </si>
  <si>
    <t>Muang Nakhon Sawan</t>
  </si>
  <si>
    <t>Nong Bua</t>
  </si>
  <si>
    <t>Chumsaeng</t>
  </si>
  <si>
    <t>Phayuha Khiri</t>
  </si>
  <si>
    <t>Takhli</t>
  </si>
  <si>
    <t>Mae Wong</t>
  </si>
  <si>
    <t>Tha Tako</t>
  </si>
  <si>
    <t>Krok Phra</t>
  </si>
  <si>
    <t>Banphot Phisai</t>
  </si>
  <si>
    <t>Tak Fa</t>
  </si>
  <si>
    <t>Phaisali</t>
  </si>
  <si>
    <t>Kao Lieo</t>
  </si>
  <si>
    <t>Uthai Thani</t>
  </si>
  <si>
    <t>Muang Uthai Thani</t>
  </si>
  <si>
    <t>Nong Chang</t>
  </si>
  <si>
    <t>Thap Than</t>
  </si>
  <si>
    <t>Nong Khayang</t>
  </si>
  <si>
    <t>Ban Rai</t>
  </si>
  <si>
    <t>Sawang Arom</t>
  </si>
  <si>
    <t>Lan Sak</t>
  </si>
  <si>
    <t>Huai Khot</t>
  </si>
  <si>
    <t>Kamphaeng Phet</t>
  </si>
  <si>
    <t>Muang Kamphaeng Phet</t>
  </si>
  <si>
    <t>Phran Kratai</t>
  </si>
  <si>
    <t>Khlong Khlung</t>
  </si>
  <si>
    <t>Khanu Woralaksaburi</t>
  </si>
  <si>
    <t>Sai Ngam</t>
  </si>
  <si>
    <t>Khosamphi Nakhon</t>
  </si>
  <si>
    <t>Khlong Lan</t>
  </si>
  <si>
    <t>Saithong Wattana</t>
  </si>
  <si>
    <t>Bung Samakki</t>
  </si>
  <si>
    <t>Tak</t>
  </si>
  <si>
    <t>Wang Chaw</t>
  </si>
  <si>
    <t>Mae Sot</t>
  </si>
  <si>
    <t>Ban Tak</t>
  </si>
  <si>
    <t>Sam Ngao</t>
  </si>
  <si>
    <t>Mae Ramat</t>
  </si>
  <si>
    <t>Tha Song Yang</t>
  </si>
  <si>
    <t>Phob Phra</t>
  </si>
  <si>
    <t>Umphang</t>
  </si>
  <si>
    <t>Sukhothai</t>
  </si>
  <si>
    <t>Muang Sukhothai</t>
  </si>
  <si>
    <t>Sawankhalok</t>
  </si>
  <si>
    <t>Si Samrong</t>
  </si>
  <si>
    <t>Si Satchanalai</t>
  </si>
  <si>
    <t>Ban Dan Lan Hoi</t>
  </si>
  <si>
    <t>Thung Saliam</t>
  </si>
  <si>
    <t>Khiri Mat</t>
  </si>
  <si>
    <t>Kong Krailat</t>
  </si>
  <si>
    <t>Si Nakhon</t>
  </si>
  <si>
    <t>Phitsanulok</t>
  </si>
  <si>
    <t>Muang Phitsanulok</t>
  </si>
  <si>
    <t>Bang Krathum</t>
  </si>
  <si>
    <t>Nakhon Thai</t>
  </si>
  <si>
    <t>Wang Thong</t>
  </si>
  <si>
    <t>Bang Rakam</t>
  </si>
  <si>
    <t>Phrom Phiram</t>
  </si>
  <si>
    <t>Wat Bot</t>
  </si>
  <si>
    <t>Chat Trakan</t>
  </si>
  <si>
    <t>Noen Maprang</t>
  </si>
  <si>
    <t>Phichit</t>
  </si>
  <si>
    <t>Muang Phichit</t>
  </si>
  <si>
    <t>Taphan Hin</t>
  </si>
  <si>
    <t>Bang Mun Nak</t>
  </si>
  <si>
    <t>Bung Norong</t>
  </si>
  <si>
    <t>Wachirabarami</t>
  </si>
  <si>
    <t>Tab Khlo</t>
  </si>
  <si>
    <t>Sak Lek</t>
  </si>
  <si>
    <t>Wang Sai Phun</t>
  </si>
  <si>
    <t>Pho Prathap Chang</t>
  </si>
  <si>
    <t>Dong Charoen</t>
  </si>
  <si>
    <t>Phetchabun</t>
  </si>
  <si>
    <t>Muang Phetchabun</t>
  </si>
  <si>
    <t>Lom Sak</t>
  </si>
  <si>
    <t>Lom Kao</t>
  </si>
  <si>
    <t>Wichian Buri</t>
  </si>
  <si>
    <t>Nong Phai</t>
  </si>
  <si>
    <t>Chon Daen</t>
  </si>
  <si>
    <t>Bung Sam Phan</t>
  </si>
  <si>
    <t>Si Thep</t>
  </si>
  <si>
    <t>Wang Pong</t>
  </si>
  <si>
    <t>Nam Nao</t>
  </si>
  <si>
    <t>Khao Kho</t>
  </si>
  <si>
    <t>Ratchaburi</t>
  </si>
  <si>
    <t>Muang Ratchaburi</t>
  </si>
  <si>
    <t>Ban Pong</t>
  </si>
  <si>
    <t>Photharam</t>
  </si>
  <si>
    <t>Damnoen Saduak</t>
  </si>
  <si>
    <t>Pak Tho</t>
  </si>
  <si>
    <t>Chom Bung</t>
  </si>
  <si>
    <t>Bang Phae</t>
  </si>
  <si>
    <t>Wat Phleng</t>
  </si>
  <si>
    <t>Suan Phung</t>
  </si>
  <si>
    <t>Khanchanaburi</t>
  </si>
  <si>
    <t>Muang Kanchanaburi</t>
  </si>
  <si>
    <t>Tha Muang</t>
  </si>
  <si>
    <t>Tha Maka</t>
  </si>
  <si>
    <t>Phanom Thuan</t>
  </si>
  <si>
    <t>Sai Yok</t>
  </si>
  <si>
    <t>Bo Phloi</t>
  </si>
  <si>
    <t>Huai Khaiaw</t>
  </si>
  <si>
    <t>Thong Phaphum</t>
  </si>
  <si>
    <t>Lao Khwan</t>
  </si>
  <si>
    <t>Nong Prue</t>
  </si>
  <si>
    <t>Sangkhla Buri</t>
  </si>
  <si>
    <t>Si Sawat</t>
  </si>
  <si>
    <t>Dan Makham Tia</t>
  </si>
  <si>
    <t>Suphanburi</t>
  </si>
  <si>
    <t>Muang Suphan Buri</t>
  </si>
  <si>
    <t>Song Phi Nong</t>
  </si>
  <si>
    <t>Doembang Nangbuat</t>
  </si>
  <si>
    <t>Sam Chuk</t>
  </si>
  <si>
    <t>Si Prachan</t>
  </si>
  <si>
    <t>Bang Pla Ma</t>
  </si>
  <si>
    <t>U-Thong</t>
  </si>
  <si>
    <t>Don Chedi</t>
  </si>
  <si>
    <t>Dan Chang</t>
  </si>
  <si>
    <t>Nong Yasai</t>
  </si>
  <si>
    <t>Nakhon Pathom</t>
  </si>
  <si>
    <t>Muang Nakhon Pathom</t>
  </si>
  <si>
    <t>Sam Phran</t>
  </si>
  <si>
    <t>Nakhon Chaisi</t>
  </si>
  <si>
    <t>Bang Len</t>
  </si>
  <si>
    <t>Khamphaeng Saen</t>
  </si>
  <si>
    <t>Don Tum</t>
  </si>
  <si>
    <t>Phutha Monthon</t>
  </si>
  <si>
    <t>Samut Sakhon</t>
  </si>
  <si>
    <t>Muang Samut Sakhon</t>
  </si>
  <si>
    <t>Krathum Baen</t>
  </si>
  <si>
    <t>Ban Phaeo</t>
  </si>
  <si>
    <t>Samut Songkhram</t>
  </si>
  <si>
    <t>Muang Samut Songkhram</t>
  </si>
  <si>
    <t>Amphawa</t>
  </si>
  <si>
    <t>Bang Khonthi</t>
  </si>
  <si>
    <t>Phetchaburi</t>
  </si>
  <si>
    <t>Muang Phetchaburi</t>
  </si>
  <si>
    <t>Ban Laem</t>
  </si>
  <si>
    <t>Cha-Am</t>
  </si>
  <si>
    <t>Tha Yang</t>
  </si>
  <si>
    <t>Khao Yoi</t>
  </si>
  <si>
    <t>Ban Lat</t>
  </si>
  <si>
    <t>Nong Ya Plong</t>
  </si>
  <si>
    <t>Kang Krachan</t>
  </si>
  <si>
    <t>Prachuap Khirikhan</t>
  </si>
  <si>
    <t>Muang prachuap Khirikan</t>
  </si>
  <si>
    <t>Hua Hin</t>
  </si>
  <si>
    <t>Pran Buri</t>
  </si>
  <si>
    <t>Thap Sakae</t>
  </si>
  <si>
    <t>Bang Saphan</t>
  </si>
  <si>
    <t>Kui Buri</t>
  </si>
  <si>
    <t>Bang Saphan Noi</t>
  </si>
  <si>
    <t>Samaroiyod</t>
  </si>
  <si>
    <t>Nakhon Sie Thammarat</t>
  </si>
  <si>
    <t>Phra Phrom</t>
  </si>
  <si>
    <t>Thung Song</t>
  </si>
  <si>
    <t>Sichon</t>
  </si>
  <si>
    <t>Ron Phibun</t>
  </si>
  <si>
    <t>Pak Phanang</t>
  </si>
  <si>
    <t>Chawang</t>
  </si>
  <si>
    <t>Nob Pitam</t>
  </si>
  <si>
    <t>Hua Sai</t>
  </si>
  <si>
    <t>Cha-uat</t>
  </si>
  <si>
    <t>Chian Yai</t>
  </si>
  <si>
    <t>Khanom</t>
  </si>
  <si>
    <t>Na Bon</t>
  </si>
  <si>
    <t>Lan Saka</t>
  </si>
  <si>
    <t>Thung Yai</t>
  </si>
  <si>
    <t>Chang Khlang</t>
  </si>
  <si>
    <t>Tham Punnara</t>
  </si>
  <si>
    <t>Phipun</t>
  </si>
  <si>
    <t>Phromkhiri</t>
  </si>
  <si>
    <t>Bang Khan</t>
  </si>
  <si>
    <t>Krabi</t>
  </si>
  <si>
    <t>Muang Krabi</t>
  </si>
  <si>
    <t>Ao Luk</t>
  </si>
  <si>
    <t>Khlong Thom</t>
  </si>
  <si>
    <t>Nua Khlong</t>
  </si>
  <si>
    <t>Khao Phanom</t>
  </si>
  <si>
    <t>Ko Lanta</t>
  </si>
  <si>
    <t>Plai Phraya</t>
  </si>
  <si>
    <t>Phang Nga</t>
  </si>
  <si>
    <t>Muang Phang Nga</t>
  </si>
  <si>
    <t>Takua Pa</t>
  </si>
  <si>
    <t>Thai Muang</t>
  </si>
  <si>
    <t>Takua Thung</t>
  </si>
  <si>
    <t>Khura Buri</t>
  </si>
  <si>
    <t>Koh Yao</t>
  </si>
  <si>
    <t>Kapong</t>
  </si>
  <si>
    <t>Thap Put</t>
  </si>
  <si>
    <t>Phuket</t>
  </si>
  <si>
    <t>Muang Phuket</t>
  </si>
  <si>
    <t>Thalang</t>
  </si>
  <si>
    <t>Kathu</t>
  </si>
  <si>
    <t>Surat Thani</t>
  </si>
  <si>
    <t>Muang Surat Thani</t>
  </si>
  <si>
    <t>Chaiya</t>
  </si>
  <si>
    <t>Ban Na San</t>
  </si>
  <si>
    <t>Phunphin</t>
  </si>
  <si>
    <t>Ko Samui</t>
  </si>
  <si>
    <t>Kanchanadit</t>
  </si>
  <si>
    <t>Tha Chana</t>
  </si>
  <si>
    <t>Wiphawadi</t>
  </si>
  <si>
    <t>Chai Buri</t>
  </si>
  <si>
    <t>Don Sak</t>
  </si>
  <si>
    <t>Ban Ta Khun</t>
  </si>
  <si>
    <t>Ban Na Doem</t>
  </si>
  <si>
    <t>Phanom</t>
  </si>
  <si>
    <t>Khian Sa</t>
  </si>
  <si>
    <t>Ko Phangan</t>
  </si>
  <si>
    <t>Ranong</t>
  </si>
  <si>
    <t>Muang Ranong</t>
  </si>
  <si>
    <t>Kra Buri</t>
  </si>
  <si>
    <t>Kapoe</t>
  </si>
  <si>
    <t>La-Un</t>
  </si>
  <si>
    <t>Chumphon</t>
  </si>
  <si>
    <t>Muang Chumphon</t>
  </si>
  <si>
    <t>Lang Suan</t>
  </si>
  <si>
    <t>Sawi</t>
  </si>
  <si>
    <t>Tha Sae</t>
  </si>
  <si>
    <t>Pathiu</t>
  </si>
  <si>
    <t>Lamae</t>
  </si>
  <si>
    <t>Phato</t>
  </si>
  <si>
    <t>Thung Tako</t>
  </si>
  <si>
    <t>Songkhla</t>
  </si>
  <si>
    <t>Muang Songkhla</t>
  </si>
  <si>
    <t>Bang Klam</t>
  </si>
  <si>
    <t>Sa Dao</t>
  </si>
  <si>
    <t>Chana</t>
  </si>
  <si>
    <t>Ranot</t>
  </si>
  <si>
    <t>Thepha</t>
  </si>
  <si>
    <t>Na Thawi</t>
  </si>
  <si>
    <t>Rattapum</t>
  </si>
  <si>
    <t>Sating Phra</t>
  </si>
  <si>
    <t>Sabayoi</t>
  </si>
  <si>
    <t>Kuan Niang</t>
  </si>
  <si>
    <t>Khlong Hoykhong</t>
  </si>
  <si>
    <t>Krasae Sin</t>
  </si>
  <si>
    <t>Na Mom</t>
  </si>
  <si>
    <t>Singha Nakorn</t>
  </si>
  <si>
    <t>Satun</t>
  </si>
  <si>
    <t>Muang Satun</t>
  </si>
  <si>
    <t>Langu</t>
  </si>
  <si>
    <t>Thung Wa</t>
  </si>
  <si>
    <t>Manung</t>
  </si>
  <si>
    <t>Tha Phae</t>
  </si>
  <si>
    <t>Khuan Doan</t>
  </si>
  <si>
    <t>Trang</t>
  </si>
  <si>
    <t>Muang Trang</t>
  </si>
  <si>
    <t>Kantang</t>
  </si>
  <si>
    <t>Had Samran</t>
  </si>
  <si>
    <t>Huai Yot</t>
  </si>
  <si>
    <t>Yan Tak Kao</t>
  </si>
  <si>
    <t>Sikao</t>
  </si>
  <si>
    <t>Rachada</t>
  </si>
  <si>
    <t>Na Yong</t>
  </si>
  <si>
    <t>Wang Wiset</t>
  </si>
  <si>
    <t>Phatthalung</t>
  </si>
  <si>
    <t>Sri Nakharin</t>
  </si>
  <si>
    <t>Pa Payam</t>
  </si>
  <si>
    <t>Pak Phayun</t>
  </si>
  <si>
    <t>Khao Chaison</t>
  </si>
  <si>
    <t>Bang Kaeo</t>
  </si>
  <si>
    <t>Tamot</t>
  </si>
  <si>
    <t>Pa Bon</t>
  </si>
  <si>
    <t>Kong Ra</t>
  </si>
  <si>
    <t>Si Ban Phot</t>
  </si>
  <si>
    <t>Pattani</t>
  </si>
  <si>
    <t>Muang Pattani</t>
  </si>
  <si>
    <t>Sai Buri</t>
  </si>
  <si>
    <t>Khok Pho</t>
  </si>
  <si>
    <t>Panare</t>
  </si>
  <si>
    <t>Thung Yan Daeng</t>
  </si>
  <si>
    <t>Yaring</t>
  </si>
  <si>
    <t>Yarang</t>
  </si>
  <si>
    <t>Nong Chik</t>
  </si>
  <si>
    <t>Mae Lan</t>
  </si>
  <si>
    <t>Mai Kaen</t>
  </si>
  <si>
    <t>Kpho</t>
  </si>
  <si>
    <t>Yala</t>
  </si>
  <si>
    <t>Muang Yala</t>
  </si>
  <si>
    <t>Betong</t>
  </si>
  <si>
    <t>Ka Bung</t>
  </si>
  <si>
    <t>Bannang Sata</t>
  </si>
  <si>
    <t>Raman</t>
  </si>
  <si>
    <t>Than To</t>
  </si>
  <si>
    <t>Narathiwat</t>
  </si>
  <si>
    <t>Muang Narathiwat</t>
  </si>
  <si>
    <t>Tak Bai</t>
  </si>
  <si>
    <t>Sungai Kolok</t>
  </si>
  <si>
    <t>Rangae</t>
  </si>
  <si>
    <t>Sungai Padi</t>
  </si>
  <si>
    <t>Ruso</t>
  </si>
  <si>
    <t>Waeng</t>
  </si>
  <si>
    <t>Bacho</t>
  </si>
  <si>
    <t>Yi-Ngo</t>
  </si>
  <si>
    <t>Sukhirin</t>
  </si>
  <si>
    <t>Si Sakhon</t>
  </si>
  <si>
    <t>Chanae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</si>
</sst>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</font>
    <font>
      <i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i/>
      <color theme="1"/>
      <name val="Calibri"/>
    </font>
    <font>
      <sz val="11.0"/>
      <color rgb="FF818181"/>
      <name val="Prompt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3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horizontal="left" shrinkToFit="0" vertical="bottom" wrapText="0"/>
    </xf>
    <xf borderId="5" fillId="0" fontId="5" numFmtId="0" xfId="0" applyAlignment="1" applyBorder="1" applyFont="1">
      <alignment horizontal="left"/>
    </xf>
    <xf borderId="0" fillId="0" fontId="2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/>
    </xf>
    <xf borderId="5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left" shrinkToFit="0" vertical="bottom" wrapText="0"/>
    </xf>
    <xf borderId="5" fillId="0" fontId="2" numFmtId="0" xfId="0" applyAlignment="1" applyBorder="1" applyFont="1">
      <alignment horizontal="left" readingOrder="0" shrinkToFit="0" vertical="bottom" wrapText="0"/>
    </xf>
    <xf borderId="5" fillId="0" fontId="6" numFmtId="0" xfId="0" applyAlignment="1" applyBorder="1" applyFont="1">
      <alignment horizontal="left"/>
    </xf>
    <xf borderId="0" fillId="0" fontId="1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horizontal="left" readingOrder="0" vertical="top"/>
    </xf>
    <xf borderId="0" fillId="3" fontId="9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 t="s">
        <v>0</v>
      </c>
      <c r="H1" s="4" t="s">
        <v>3</v>
      </c>
      <c r="I1" s="2"/>
      <c r="J1" s="2"/>
      <c r="K1" s="2"/>
      <c r="L1" s="2"/>
      <c r="M1" s="2"/>
      <c r="N1" s="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10100.0</v>
      </c>
      <c r="B2" s="7" t="s">
        <v>4</v>
      </c>
      <c r="C2" s="7" t="s">
        <v>5</v>
      </c>
      <c r="D2" s="7" t="str">
        <f t="shared" ref="D2:D779" si="1"> XLOOKUP(VALUE(LEFT(A2,1)), $G$2:$G$10, $H$2:$H$10,"")</f>
        <v>Middle</v>
      </c>
      <c r="E2" s="2"/>
      <c r="F2" s="2"/>
      <c r="G2" s="8">
        <v>1.0</v>
      </c>
      <c r="H2" s="9" t="s">
        <v>6</v>
      </c>
      <c r="I2" s="2"/>
      <c r="J2" s="2"/>
      <c r="K2" s="2"/>
      <c r="L2" s="2"/>
      <c r="M2" s="2"/>
      <c r="N2" s="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10110.0</v>
      </c>
      <c r="B3" s="7" t="s">
        <v>4</v>
      </c>
      <c r="C3" s="7" t="s">
        <v>7</v>
      </c>
      <c r="D3" s="7" t="str">
        <f t="shared" si="1"/>
        <v>Middle</v>
      </c>
      <c r="E3" s="2"/>
      <c r="F3" s="2"/>
      <c r="G3" s="8">
        <v>2.0</v>
      </c>
      <c r="H3" s="9" t="s">
        <v>8</v>
      </c>
      <c r="I3" s="10"/>
      <c r="J3" s="2"/>
      <c r="K3" s="2"/>
      <c r="L3" s="2"/>
      <c r="M3" s="2"/>
      <c r="N3" s="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10120.0</v>
      </c>
      <c r="B4" s="7" t="s">
        <v>4</v>
      </c>
      <c r="C4" s="7" t="s">
        <v>9</v>
      </c>
      <c r="D4" s="7" t="str">
        <f t="shared" si="1"/>
        <v>Middle</v>
      </c>
      <c r="E4" s="2"/>
      <c r="F4" s="2"/>
      <c r="G4" s="8">
        <v>3.0</v>
      </c>
      <c r="H4" s="9" t="s">
        <v>10</v>
      </c>
      <c r="I4" s="11" t="s">
        <v>11</v>
      </c>
      <c r="J4" s="2"/>
      <c r="K4" s="2"/>
      <c r="L4" s="2"/>
      <c r="M4" s="2"/>
      <c r="N4" s="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10130.0</v>
      </c>
      <c r="B5" s="7" t="s">
        <v>12</v>
      </c>
      <c r="C5" s="7" t="s">
        <v>13</v>
      </c>
      <c r="D5" s="7" t="str">
        <f t="shared" si="1"/>
        <v>Middle</v>
      </c>
      <c r="E5" s="2"/>
      <c r="F5" s="2"/>
      <c r="G5" s="8">
        <v>4.0</v>
      </c>
      <c r="H5" s="9" t="s">
        <v>14</v>
      </c>
      <c r="I5" s="11" t="s">
        <v>15</v>
      </c>
      <c r="J5" s="2"/>
      <c r="K5" s="2"/>
      <c r="L5" s="2"/>
      <c r="M5" s="2"/>
      <c r="N5" s="2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10140.0</v>
      </c>
      <c r="B6" s="7" t="s">
        <v>4</v>
      </c>
      <c r="C6" s="7" t="s">
        <v>16</v>
      </c>
      <c r="D6" s="7" t="str">
        <f t="shared" si="1"/>
        <v>Middle</v>
      </c>
      <c r="E6" s="2"/>
      <c r="F6" s="2"/>
      <c r="G6" s="8">
        <v>5.0</v>
      </c>
      <c r="H6" s="9" t="s">
        <v>17</v>
      </c>
      <c r="I6" s="11" t="s">
        <v>15</v>
      </c>
      <c r="J6" s="2"/>
      <c r="K6" s="2"/>
      <c r="L6" s="2"/>
      <c r="M6" s="2"/>
      <c r="N6" s="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10150.0</v>
      </c>
      <c r="B7" s="7" t="s">
        <v>4</v>
      </c>
      <c r="C7" s="7" t="s">
        <v>18</v>
      </c>
      <c r="D7" s="7" t="str">
        <f t="shared" si="1"/>
        <v>Middle</v>
      </c>
      <c r="E7" s="2"/>
      <c r="F7" s="2"/>
      <c r="G7" s="8">
        <v>6.0</v>
      </c>
      <c r="H7" s="9" t="s">
        <v>19</v>
      </c>
      <c r="I7" s="11" t="s">
        <v>20</v>
      </c>
      <c r="J7" s="2"/>
      <c r="K7" s="2"/>
      <c r="L7" s="2"/>
      <c r="M7" s="2"/>
      <c r="N7" s="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10160.0</v>
      </c>
      <c r="B8" s="7" t="s">
        <v>4</v>
      </c>
      <c r="C8" s="7" t="s">
        <v>21</v>
      </c>
      <c r="D8" s="7" t="str">
        <f t="shared" si="1"/>
        <v>Middle</v>
      </c>
      <c r="E8" s="2"/>
      <c r="F8" s="2"/>
      <c r="G8" s="8">
        <v>7.0</v>
      </c>
      <c r="H8" s="9" t="s">
        <v>22</v>
      </c>
      <c r="I8" s="12"/>
      <c r="J8" s="2"/>
      <c r="K8" s="2"/>
      <c r="L8" s="2"/>
      <c r="M8" s="2"/>
      <c r="N8" s="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10170.0</v>
      </c>
      <c r="B9" s="7" t="s">
        <v>4</v>
      </c>
      <c r="C9" s="7" t="s">
        <v>23</v>
      </c>
      <c r="D9" s="7" t="str">
        <f t="shared" si="1"/>
        <v>Middle</v>
      </c>
      <c r="E9" s="2"/>
      <c r="F9" s="2"/>
      <c r="G9" s="8">
        <v>8.0</v>
      </c>
      <c r="H9" s="9" t="s">
        <v>24</v>
      </c>
      <c r="I9" s="11" t="s">
        <v>15</v>
      </c>
      <c r="J9" s="2"/>
      <c r="K9" s="2"/>
      <c r="L9" s="2"/>
      <c r="M9" s="2"/>
      <c r="N9" s="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10200.0</v>
      </c>
      <c r="B10" s="7" t="s">
        <v>4</v>
      </c>
      <c r="C10" s="7" t="s">
        <v>25</v>
      </c>
      <c r="D10" s="7" t="str">
        <f t="shared" si="1"/>
        <v>Middle</v>
      </c>
      <c r="E10" s="2"/>
      <c r="F10" s="2"/>
      <c r="G10" s="8">
        <v>9.0</v>
      </c>
      <c r="H10" s="9" t="s">
        <v>24</v>
      </c>
      <c r="I10" s="11" t="s">
        <v>11</v>
      </c>
      <c r="J10" s="2"/>
      <c r="K10" s="2"/>
      <c r="L10" s="2"/>
      <c r="M10" s="2"/>
      <c r="N10" s="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10210.0</v>
      </c>
      <c r="B11" s="7" t="s">
        <v>4</v>
      </c>
      <c r="C11" s="7" t="s">
        <v>26</v>
      </c>
      <c r="D11" s="7" t="str">
        <f t="shared" si="1"/>
        <v>Middle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10220.0</v>
      </c>
      <c r="B12" s="7" t="s">
        <v>4</v>
      </c>
      <c r="C12" s="7" t="s">
        <v>27</v>
      </c>
      <c r="D12" s="7" t="str">
        <f t="shared" si="1"/>
        <v>Middle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10230.0</v>
      </c>
      <c r="B13" s="7" t="s">
        <v>4</v>
      </c>
      <c r="C13" s="7" t="s">
        <v>28</v>
      </c>
      <c r="D13" s="7" t="str">
        <f t="shared" si="1"/>
        <v>Middle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10240.0</v>
      </c>
      <c r="B14" s="7" t="s">
        <v>4</v>
      </c>
      <c r="C14" s="7" t="s">
        <v>29</v>
      </c>
      <c r="D14" s="7" t="str">
        <f t="shared" si="1"/>
        <v>Middle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10250.0</v>
      </c>
      <c r="B15" s="7" t="s">
        <v>4</v>
      </c>
      <c r="C15" s="7" t="s">
        <v>30</v>
      </c>
      <c r="D15" s="7" t="str">
        <f t="shared" si="1"/>
        <v>Middle</v>
      </c>
      <c r="E15" s="2"/>
      <c r="F15" s="13"/>
      <c r="G15" s="14" t="str">
        <f t="array" ref="G15:O15">TRANSPOSE(H2:H10)</f>
        <v>Middle</v>
      </c>
      <c r="H15" s="14" t="s">
        <v>8</v>
      </c>
      <c r="I15" s="14" t="s">
        <v>10</v>
      </c>
      <c r="J15" s="14" t="s">
        <v>14</v>
      </c>
      <c r="K15" s="14" t="s">
        <v>17</v>
      </c>
      <c r="L15" s="14" t="s">
        <v>19</v>
      </c>
      <c r="M15" s="15" t="s">
        <v>22</v>
      </c>
      <c r="N15" s="15" t="s">
        <v>24</v>
      </c>
      <c r="O15" s="16" t="s">
        <v>24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10260.0</v>
      </c>
      <c r="B16" s="7" t="s">
        <v>4</v>
      </c>
      <c r="C16" s="7" t="s">
        <v>31</v>
      </c>
      <c r="D16" s="7" t="str">
        <f t="shared" si="1"/>
        <v>Middle</v>
      </c>
      <c r="E16" s="2"/>
      <c r="F16" s="6">
        <v>1.0</v>
      </c>
      <c r="G16" s="7" t="str">
        <f>IFERROR(__xludf.DUMMYFUNCTION(" SORT(UNIQUE(FILTER($B:$B, $D:$D=G15)))"),"Ang Thong")</f>
        <v>Ang Thong</v>
      </c>
      <c r="H16" s="7" t="str">
        <f>IFERROR(__xludf.DUMMYFUNCTION(" SORT(UNIQUE(FILTER($B:$B, $D:$D=H15)))"),"Chachoengsao")</f>
        <v>Chachoengsao</v>
      </c>
      <c r="I16" s="7" t="str">
        <f>IFERROR(__xludf.DUMMYFUNCTION(" SORT(UNIQUE(FILTER($B:$B, $D:$D=I15)))"),"Amnat Charoen")</f>
        <v>Amnat Charoen</v>
      </c>
      <c r="J16" s="7" t="str">
        <f>IFERROR(__xludf.DUMMYFUNCTION(" SORT(UNIQUE(FILTER($B:$B, $D:$D=J15)))"),"Kalasin")</f>
        <v>Kalasin</v>
      </c>
      <c r="K16" s="7" t="str">
        <f>IFERROR(__xludf.DUMMYFUNCTION(" SORT(UNIQUE(FILTER($B:$B, $D:$D=K15)))"),"Chiang Mai")</f>
        <v>Chiang Mai</v>
      </c>
      <c r="L16" s="7" t="str">
        <f>IFERROR(__xludf.DUMMYFUNCTION(" SORT(UNIQUE(FILTER($B:$B, $D:$D=L15)))"),"Kamphaeng Phet")</f>
        <v>Kamphaeng Phet</v>
      </c>
      <c r="M16" s="7" t="str">
        <f>IFERROR(__xludf.DUMMYFUNCTION(" SORT(UNIQUE(FILTER($B:$B, $D:$D=M15)))"),"Khanchanaburi")</f>
        <v>Khanchanaburi</v>
      </c>
      <c r="N16" s="7" t="str">
        <f>IFERROR(__xludf.DUMMYFUNCTION(" SORT(UNIQUE(FILTER($B:$B, $D:$D=N15)))"),"Chumphon")</f>
        <v>Chumphon</v>
      </c>
      <c r="O16" s="7" t="str">
        <f>IFERROR(__xludf.DUMMYFUNCTION(" SORT(UNIQUE(FILTER($B:$B, $D:$D=O15)))"),"Chumphon")</f>
        <v>Chumphon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10270.0</v>
      </c>
      <c r="B17" s="7" t="s">
        <v>12</v>
      </c>
      <c r="C17" s="7" t="s">
        <v>32</v>
      </c>
      <c r="D17" s="7" t="str">
        <f t="shared" si="1"/>
        <v>Middle</v>
      </c>
      <c r="E17" s="2"/>
      <c r="F17" s="6">
        <v>2.0</v>
      </c>
      <c r="G17" s="7" t="str">
        <f>IFERROR(__xludf.DUMMYFUNCTION("""COMPUTED_VALUE"""),"Bangkok")</f>
        <v>Bangkok</v>
      </c>
      <c r="H17" s="7" t="str">
        <f>IFERROR(__xludf.DUMMYFUNCTION("""COMPUTED_VALUE"""),"Chanthaburi")</f>
        <v>Chanthaburi</v>
      </c>
      <c r="I17" s="7" t="str">
        <f>IFERROR(__xludf.DUMMYFUNCTION("""COMPUTED_VALUE"""),"Bueng Kan")</f>
        <v>Bueng Kan</v>
      </c>
      <c r="J17" s="7" t="str">
        <f>IFERROR(__xludf.DUMMYFUNCTION("""COMPUTED_VALUE"""),"Khon Kaen")</f>
        <v>Khon Kaen</v>
      </c>
      <c r="K17" s="7" t="str">
        <f>IFERROR(__xludf.DUMMYFUNCTION("""COMPUTED_VALUE"""),"Chiang Rai")</f>
        <v>Chiang Rai</v>
      </c>
      <c r="L17" s="7" t="str">
        <f>IFERROR(__xludf.DUMMYFUNCTION("""COMPUTED_VALUE"""),"Nakhon Sawan")</f>
        <v>Nakhon Sawan</v>
      </c>
      <c r="M17" s="17" t="str">
        <f>IFERROR(__xludf.DUMMYFUNCTION("""COMPUTED_VALUE"""),"Nakhon Pathom")</f>
        <v>Nakhon Pathom</v>
      </c>
      <c r="N17" s="17" t="str">
        <f>IFERROR(__xludf.DUMMYFUNCTION("""COMPUTED_VALUE"""),"Krabi")</f>
        <v>Krabi</v>
      </c>
      <c r="O17" s="18" t="str">
        <f>IFERROR(__xludf.DUMMYFUNCTION("""COMPUTED_VALUE"""),"Krabi")</f>
        <v>Krabi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10290.0</v>
      </c>
      <c r="B18" s="7" t="s">
        <v>12</v>
      </c>
      <c r="C18" s="7" t="s">
        <v>33</v>
      </c>
      <c r="D18" s="7" t="str">
        <f t="shared" si="1"/>
        <v>Middle</v>
      </c>
      <c r="E18" s="2"/>
      <c r="F18" s="6">
        <v>3.0</v>
      </c>
      <c r="G18" s="7" t="str">
        <f>IFERROR(__xludf.DUMMYFUNCTION("""COMPUTED_VALUE"""),"Chainat")</f>
        <v>Chainat</v>
      </c>
      <c r="H18" s="7" t="str">
        <f>IFERROR(__xludf.DUMMYFUNCTION("""COMPUTED_VALUE"""),"Chonburi")</f>
        <v>Chonburi</v>
      </c>
      <c r="I18" s="7" t="str">
        <f>IFERROR(__xludf.DUMMYFUNCTION("""COMPUTED_VALUE"""),"Burirum")</f>
        <v>Burirum</v>
      </c>
      <c r="J18" s="7" t="str">
        <f>IFERROR(__xludf.DUMMYFUNCTION("""COMPUTED_VALUE"""),"Loei")</f>
        <v>Loei</v>
      </c>
      <c r="K18" s="7" t="str">
        <f>IFERROR(__xludf.DUMMYFUNCTION("""COMPUTED_VALUE"""),"Lampang")</f>
        <v>Lampang</v>
      </c>
      <c r="L18" s="7" t="str">
        <f>IFERROR(__xludf.DUMMYFUNCTION("""COMPUTED_VALUE"""),"Phetchabun")</f>
        <v>Phetchabun</v>
      </c>
      <c r="M18" s="17" t="str">
        <f>IFERROR(__xludf.DUMMYFUNCTION("""COMPUTED_VALUE"""),"Phetchaburi")</f>
        <v>Phetchaburi</v>
      </c>
      <c r="N18" s="17" t="str">
        <f>IFERROR(__xludf.DUMMYFUNCTION("""COMPUTED_VALUE"""),"Nakhon Sie Thammarat")</f>
        <v>Nakhon Sie Thammarat</v>
      </c>
      <c r="O18" s="18" t="str">
        <f>IFERROR(__xludf.DUMMYFUNCTION("""COMPUTED_VALUE"""),"Nakhon Sie Thammarat")</f>
        <v>Nakhon Sie Thammarat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10300.0</v>
      </c>
      <c r="B19" s="7" t="s">
        <v>4</v>
      </c>
      <c r="C19" s="7" t="s">
        <v>34</v>
      </c>
      <c r="D19" s="7" t="str">
        <f t="shared" si="1"/>
        <v>Middle</v>
      </c>
      <c r="E19" s="2"/>
      <c r="F19" s="6">
        <v>4.0</v>
      </c>
      <c r="G19" s="7" t="str">
        <f>IFERROR(__xludf.DUMMYFUNCTION("""COMPUTED_VALUE"""),"Lopburi")</f>
        <v>Lopburi</v>
      </c>
      <c r="H19" s="7" t="str">
        <f>IFERROR(__xludf.DUMMYFUNCTION("""COMPUTED_VALUE"""),"Nakhon Nayok")</f>
        <v>Nakhon Nayok</v>
      </c>
      <c r="I19" s="7" t="str">
        <f>IFERROR(__xludf.DUMMYFUNCTION("""COMPUTED_VALUE"""),"Chaiyaphum")</f>
        <v>Chaiyaphum</v>
      </c>
      <c r="J19" s="7" t="str">
        <f>IFERROR(__xludf.DUMMYFUNCTION("""COMPUTED_VALUE"""),"Maha Sarakham")</f>
        <v>Maha Sarakham</v>
      </c>
      <c r="K19" s="7" t="str">
        <f>IFERROR(__xludf.DUMMYFUNCTION("""COMPUTED_VALUE"""),"Lamphun")</f>
        <v>Lamphun</v>
      </c>
      <c r="L19" s="7" t="str">
        <f>IFERROR(__xludf.DUMMYFUNCTION("""COMPUTED_VALUE"""),"Phichit")</f>
        <v>Phichit</v>
      </c>
      <c r="M19" s="17" t="str">
        <f>IFERROR(__xludf.DUMMYFUNCTION("""COMPUTED_VALUE"""),"Prachuap Khirikhan")</f>
        <v>Prachuap Khirikhan</v>
      </c>
      <c r="N19" s="17" t="str">
        <f>IFERROR(__xludf.DUMMYFUNCTION("""COMPUTED_VALUE"""),"Narathiwat")</f>
        <v>Narathiwat</v>
      </c>
      <c r="O19" s="18" t="str">
        <f>IFERROR(__xludf.DUMMYFUNCTION("""COMPUTED_VALUE"""),"Narathiwat")</f>
        <v>Narathiwat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10310.0</v>
      </c>
      <c r="B20" s="7" t="s">
        <v>4</v>
      </c>
      <c r="C20" s="7" t="s">
        <v>35</v>
      </c>
      <c r="D20" s="7" t="str">
        <f t="shared" si="1"/>
        <v>Middle</v>
      </c>
      <c r="E20" s="2"/>
      <c r="F20" s="6">
        <v>5.0</v>
      </c>
      <c r="G20" s="7" t="str">
        <f>IFERROR(__xludf.DUMMYFUNCTION("""COMPUTED_VALUE"""),"Nonthaburi")</f>
        <v>Nonthaburi</v>
      </c>
      <c r="H20" s="7" t="str">
        <f>IFERROR(__xludf.DUMMYFUNCTION("""COMPUTED_VALUE"""),"Prachinburi")</f>
        <v>Prachinburi</v>
      </c>
      <c r="I20" s="7" t="str">
        <f>IFERROR(__xludf.DUMMYFUNCTION("""COMPUTED_VALUE"""),"Nakhon Ratchasima")</f>
        <v>Nakhon Ratchasima</v>
      </c>
      <c r="J20" s="7" t="str">
        <f>IFERROR(__xludf.DUMMYFUNCTION("""COMPUTED_VALUE"""),"Mukdahan")</f>
        <v>Mukdahan</v>
      </c>
      <c r="K20" s="7" t="str">
        <f>IFERROR(__xludf.DUMMYFUNCTION("""COMPUTED_VALUE"""),"Mae Hong Son")</f>
        <v>Mae Hong Son</v>
      </c>
      <c r="L20" s="7" t="str">
        <f>IFERROR(__xludf.DUMMYFUNCTION("""COMPUTED_VALUE"""),"Phitsanulok")</f>
        <v>Phitsanulok</v>
      </c>
      <c r="M20" s="17" t="str">
        <f>IFERROR(__xludf.DUMMYFUNCTION("""COMPUTED_VALUE"""),"Ratchaburi")</f>
        <v>Ratchaburi</v>
      </c>
      <c r="N20" s="17" t="str">
        <f>IFERROR(__xludf.DUMMYFUNCTION("""COMPUTED_VALUE"""),"Pattani")</f>
        <v>Pattani</v>
      </c>
      <c r="O20" s="18" t="str">
        <f>IFERROR(__xludf.DUMMYFUNCTION("""COMPUTED_VALUE"""),"Pattani")</f>
        <v>Pattani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10320.0</v>
      </c>
      <c r="B21" s="7" t="s">
        <v>4</v>
      </c>
      <c r="C21" s="7" t="s">
        <v>36</v>
      </c>
      <c r="D21" s="7" t="str">
        <f t="shared" si="1"/>
        <v>Middle</v>
      </c>
      <c r="E21" s="2"/>
      <c r="F21" s="6">
        <v>6.0</v>
      </c>
      <c r="G21" s="7" t="str">
        <f>IFERROR(__xludf.DUMMYFUNCTION("""COMPUTED_VALUE"""),"Pathum Thani")</f>
        <v>Pathum Thani</v>
      </c>
      <c r="H21" s="7" t="str">
        <f>IFERROR(__xludf.DUMMYFUNCTION("""COMPUTED_VALUE"""),"Rayong")</f>
        <v>Rayong</v>
      </c>
      <c r="I21" s="7" t="str">
        <f>IFERROR(__xludf.DUMMYFUNCTION("""COMPUTED_VALUE"""),"Na Tan")</f>
        <v>Na Tan</v>
      </c>
      <c r="J21" s="7" t="str">
        <f>IFERROR(__xludf.DUMMYFUNCTION("""COMPUTED_VALUE"""),"Nakhon Phanom")</f>
        <v>Nakhon Phanom</v>
      </c>
      <c r="K21" s="7" t="str">
        <f>IFERROR(__xludf.DUMMYFUNCTION("""COMPUTED_VALUE"""),"Nan")</f>
        <v>Nan</v>
      </c>
      <c r="L21" s="7" t="str">
        <f>IFERROR(__xludf.DUMMYFUNCTION("""COMPUTED_VALUE"""),"Sukhothai")</f>
        <v>Sukhothai</v>
      </c>
      <c r="M21" s="17" t="str">
        <f>IFERROR(__xludf.DUMMYFUNCTION("""COMPUTED_VALUE"""),"Samut Sakhon")</f>
        <v>Samut Sakhon</v>
      </c>
      <c r="N21" s="17" t="str">
        <f>IFERROR(__xludf.DUMMYFUNCTION("""COMPUTED_VALUE"""),"Phang Nga")</f>
        <v>Phang Nga</v>
      </c>
      <c r="O21" s="18" t="str">
        <f>IFERROR(__xludf.DUMMYFUNCTION("""COMPUTED_VALUE"""),"Phang Nga")</f>
        <v>Phang Nga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10330.0</v>
      </c>
      <c r="B22" s="7" t="s">
        <v>4</v>
      </c>
      <c r="C22" s="7" t="s">
        <v>37</v>
      </c>
      <c r="D22" s="7" t="str">
        <f t="shared" si="1"/>
        <v>Middle</v>
      </c>
      <c r="E22" s="2"/>
      <c r="F22" s="6">
        <v>7.0</v>
      </c>
      <c r="G22" s="7" t="str">
        <f>IFERROR(__xludf.DUMMYFUNCTION("""COMPUTED_VALUE"""),"Phranakhon Si Ayutthaya")</f>
        <v>Phranakhon Si Ayutthaya</v>
      </c>
      <c r="H22" s="7" t="str">
        <f>IFERROR(__xludf.DUMMYFUNCTION("""COMPUTED_VALUE"""),"Sa Kaeo")</f>
        <v>Sa Kaeo</v>
      </c>
      <c r="I22" s="7" t="str">
        <f>IFERROR(__xludf.DUMMYFUNCTION("""COMPUTED_VALUE"""),"Non Bua Lam Phu")</f>
        <v>Non Bua Lam Phu</v>
      </c>
      <c r="J22" s="7" t="str">
        <f>IFERROR(__xludf.DUMMYFUNCTION("""COMPUTED_VALUE"""),"Nong Khai")</f>
        <v>Nong Khai</v>
      </c>
      <c r="K22" s="7" t="str">
        <f>IFERROR(__xludf.DUMMYFUNCTION("""COMPUTED_VALUE"""),"Phayao")</f>
        <v>Phayao</v>
      </c>
      <c r="L22" s="7" t="str">
        <f>IFERROR(__xludf.DUMMYFUNCTION("""COMPUTED_VALUE"""),"Tak")</f>
        <v>Tak</v>
      </c>
      <c r="M22" s="17" t="str">
        <f>IFERROR(__xludf.DUMMYFUNCTION("""COMPUTED_VALUE"""),"Samut Songkhram")</f>
        <v>Samut Songkhram</v>
      </c>
      <c r="N22" s="17" t="str">
        <f>IFERROR(__xludf.DUMMYFUNCTION("""COMPUTED_VALUE"""),"Phatthalung")</f>
        <v>Phatthalung</v>
      </c>
      <c r="O22" s="18" t="str">
        <f>IFERROR(__xludf.DUMMYFUNCTION("""COMPUTED_VALUE"""),"Phatthalung")</f>
        <v>Phatthalung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10400.0</v>
      </c>
      <c r="B23" s="7" t="s">
        <v>4</v>
      </c>
      <c r="C23" s="7" t="s">
        <v>38</v>
      </c>
      <c r="D23" s="7" t="str">
        <f t="shared" si="1"/>
        <v>Middle</v>
      </c>
      <c r="E23" s="2"/>
      <c r="F23" s="6">
        <v>8.0</v>
      </c>
      <c r="G23" s="7" t="str">
        <f>IFERROR(__xludf.DUMMYFUNCTION("""COMPUTED_VALUE"""),"Samut Prakan")</f>
        <v>Samut Prakan</v>
      </c>
      <c r="H23" s="7" t="str">
        <f>IFERROR(__xludf.DUMMYFUNCTION("""COMPUTED_VALUE"""),"Trat")</f>
        <v>Trat</v>
      </c>
      <c r="I23" s="7" t="str">
        <f>IFERROR(__xludf.DUMMYFUNCTION("""COMPUTED_VALUE"""),"Sisaket")</f>
        <v>Sisaket</v>
      </c>
      <c r="J23" s="7" t="str">
        <f>IFERROR(__xludf.DUMMYFUNCTION("""COMPUTED_VALUE"""),"Roi Et")</f>
        <v>Roi Et</v>
      </c>
      <c r="K23" s="7" t="str">
        <f>IFERROR(__xludf.DUMMYFUNCTION("""COMPUTED_VALUE"""),"Phrae")</f>
        <v>Phrae</v>
      </c>
      <c r="L23" s="7" t="str">
        <f>IFERROR(__xludf.DUMMYFUNCTION("""COMPUTED_VALUE"""),"Uthai Thani")</f>
        <v>Uthai Thani</v>
      </c>
      <c r="M23" s="17" t="str">
        <f>IFERROR(__xludf.DUMMYFUNCTION("""COMPUTED_VALUE"""),"Suphanburi")</f>
        <v>Suphanburi</v>
      </c>
      <c r="N23" s="17" t="str">
        <f>IFERROR(__xludf.DUMMYFUNCTION("""COMPUTED_VALUE"""),"Phuket")</f>
        <v>Phuket</v>
      </c>
      <c r="O23" s="18" t="str">
        <f>IFERROR(__xludf.DUMMYFUNCTION("""COMPUTED_VALUE"""),"Phuket")</f>
        <v>Phuket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10500.0</v>
      </c>
      <c r="B24" s="7" t="s">
        <v>4</v>
      </c>
      <c r="C24" s="7" t="s">
        <v>39</v>
      </c>
      <c r="D24" s="7" t="str">
        <f t="shared" si="1"/>
        <v>Middle</v>
      </c>
      <c r="E24" s="2"/>
      <c r="F24" s="6">
        <v>9.0</v>
      </c>
      <c r="G24" s="7" t="str">
        <f>IFERROR(__xludf.DUMMYFUNCTION("""COMPUTED_VALUE"""),"Saraburi")</f>
        <v>Saraburi</v>
      </c>
      <c r="H24" s="17"/>
      <c r="I24" s="7" t="str">
        <f>IFERROR(__xludf.DUMMYFUNCTION("""COMPUTED_VALUE"""),"Ubon Ratchathani")</f>
        <v>Ubon Ratchathani</v>
      </c>
      <c r="J24" s="7" t="str">
        <f>IFERROR(__xludf.DUMMYFUNCTION("""COMPUTED_VALUE"""),"Sakon Nakhon")</f>
        <v>Sakon Nakhon</v>
      </c>
      <c r="K24" s="7" t="str">
        <f>IFERROR(__xludf.DUMMYFUNCTION("""COMPUTED_VALUE"""),"Uttaradit")</f>
        <v>Uttaradit</v>
      </c>
      <c r="L24" s="17"/>
      <c r="M24" s="17"/>
      <c r="N24" s="17" t="str">
        <f>IFERROR(__xludf.DUMMYFUNCTION("""COMPUTED_VALUE"""),"Ranong")</f>
        <v>Ranong</v>
      </c>
      <c r="O24" s="18" t="str">
        <f>IFERROR(__xludf.DUMMYFUNCTION("""COMPUTED_VALUE"""),"Ranong")</f>
        <v>Ranong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10510.0</v>
      </c>
      <c r="B25" s="7" t="s">
        <v>4</v>
      </c>
      <c r="C25" s="7" t="s">
        <v>40</v>
      </c>
      <c r="D25" s="7" t="str">
        <f t="shared" si="1"/>
        <v>Middle</v>
      </c>
      <c r="E25" s="2"/>
      <c r="F25" s="6">
        <v>10.0</v>
      </c>
      <c r="G25" s="7" t="str">
        <f>IFERROR(__xludf.DUMMYFUNCTION("""COMPUTED_VALUE"""),"Singburi")</f>
        <v>Singburi</v>
      </c>
      <c r="H25" s="17"/>
      <c r="I25" s="7" t="str">
        <f>IFERROR(__xludf.DUMMYFUNCTION("""COMPUTED_VALUE"""),"Yasothon")</f>
        <v>Yasothon</v>
      </c>
      <c r="J25" s="7" t="str">
        <f>IFERROR(__xludf.DUMMYFUNCTION("""COMPUTED_VALUE"""),"Udon Thani")</f>
        <v>Udon Thani</v>
      </c>
      <c r="K25" s="7"/>
      <c r="L25" s="17"/>
      <c r="M25" s="17"/>
      <c r="N25" s="17" t="str">
        <f>IFERROR(__xludf.DUMMYFUNCTION("""COMPUTED_VALUE"""),"Satun")</f>
        <v>Satun</v>
      </c>
      <c r="O25" s="18" t="str">
        <f>IFERROR(__xludf.DUMMYFUNCTION("""COMPUTED_VALUE"""),"Satun")</f>
        <v>Satun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10520.0</v>
      </c>
      <c r="B26" s="7" t="s">
        <v>4</v>
      </c>
      <c r="C26" s="7" t="s">
        <v>41</v>
      </c>
      <c r="D26" s="7" t="str">
        <f t="shared" si="1"/>
        <v>Middle</v>
      </c>
      <c r="E26" s="2"/>
      <c r="F26" s="6">
        <v>11.0</v>
      </c>
      <c r="G26" s="17"/>
      <c r="H26" s="17"/>
      <c r="I26" s="7"/>
      <c r="J26" s="7"/>
      <c r="K26" s="7"/>
      <c r="L26" s="17"/>
      <c r="M26" s="17"/>
      <c r="N26" s="17" t="str">
        <f>IFERROR(__xludf.DUMMYFUNCTION("""COMPUTED_VALUE"""),"Songkhla")</f>
        <v>Songkhla</v>
      </c>
      <c r="O26" s="18" t="str">
        <f>IFERROR(__xludf.DUMMYFUNCTION("""COMPUTED_VALUE"""),"Songkhla")</f>
        <v>Songkhla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10530.0</v>
      </c>
      <c r="B27" s="7" t="s">
        <v>4</v>
      </c>
      <c r="C27" s="7" t="s">
        <v>42</v>
      </c>
      <c r="D27" s="7" t="str">
        <f t="shared" si="1"/>
        <v>Middle</v>
      </c>
      <c r="E27" s="2"/>
      <c r="F27" s="6">
        <v>12.0</v>
      </c>
      <c r="G27" s="17"/>
      <c r="H27" s="17"/>
      <c r="I27" s="7"/>
      <c r="J27" s="7"/>
      <c r="K27" s="7"/>
      <c r="L27" s="17"/>
      <c r="M27" s="17"/>
      <c r="N27" s="17" t="str">
        <f>IFERROR(__xludf.DUMMYFUNCTION("""COMPUTED_VALUE"""),"Surat Thani")</f>
        <v>Surat Thani</v>
      </c>
      <c r="O27" s="18" t="str">
        <f>IFERROR(__xludf.DUMMYFUNCTION("""COMPUTED_VALUE"""),"Surat Thani")</f>
        <v>Surat Thani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10540.0</v>
      </c>
      <c r="B28" s="7" t="s">
        <v>12</v>
      </c>
      <c r="C28" s="7" t="s">
        <v>43</v>
      </c>
      <c r="D28" s="7" t="str">
        <f t="shared" si="1"/>
        <v>Middle</v>
      </c>
      <c r="E28" s="2"/>
      <c r="F28" s="6">
        <v>13.0</v>
      </c>
      <c r="G28" s="17"/>
      <c r="H28" s="17"/>
      <c r="I28" s="7"/>
      <c r="J28" s="7"/>
      <c r="K28" s="7"/>
      <c r="L28" s="17"/>
      <c r="M28" s="17"/>
      <c r="N28" s="17" t="str">
        <f>IFERROR(__xludf.DUMMYFUNCTION("""COMPUTED_VALUE"""),"Trang")</f>
        <v>Trang</v>
      </c>
      <c r="O28" s="18" t="str">
        <f>IFERROR(__xludf.DUMMYFUNCTION("""COMPUTED_VALUE"""),"Trang")</f>
        <v>Trang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10560.0</v>
      </c>
      <c r="B29" s="7" t="s">
        <v>12</v>
      </c>
      <c r="C29" s="7" t="s">
        <v>44</v>
      </c>
      <c r="D29" s="7" t="str">
        <f t="shared" si="1"/>
        <v>Middle</v>
      </c>
      <c r="E29" s="2"/>
      <c r="F29" s="6">
        <v>14.0</v>
      </c>
      <c r="G29" s="17"/>
      <c r="H29" s="17"/>
      <c r="I29" s="7"/>
      <c r="J29" s="7"/>
      <c r="K29" s="7"/>
      <c r="L29" s="17"/>
      <c r="M29" s="17"/>
      <c r="N29" s="17" t="str">
        <f>IFERROR(__xludf.DUMMYFUNCTION("""COMPUTED_VALUE"""),"Yala")</f>
        <v>Yala</v>
      </c>
      <c r="O29" s="18" t="str">
        <f>IFERROR(__xludf.DUMMYFUNCTION("""COMPUTED_VALUE"""),"Yala")</f>
        <v>Yala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10600.0</v>
      </c>
      <c r="B30" s="7" t="s">
        <v>4</v>
      </c>
      <c r="C30" s="7" t="s">
        <v>45</v>
      </c>
      <c r="D30" s="7" t="str">
        <f t="shared" si="1"/>
        <v>Middle</v>
      </c>
      <c r="E30" s="2"/>
      <c r="F30" s="6">
        <v>15.0</v>
      </c>
      <c r="G30" s="17"/>
      <c r="H30" s="17"/>
      <c r="I30" s="7"/>
      <c r="J30" s="7"/>
      <c r="K30" s="17"/>
      <c r="L30" s="17"/>
      <c r="M30" s="17"/>
      <c r="N30" s="17"/>
      <c r="O30" s="18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10700.0</v>
      </c>
      <c r="B31" s="7" t="s">
        <v>4</v>
      </c>
      <c r="C31" s="7" t="s">
        <v>46</v>
      </c>
      <c r="D31" s="7" t="str">
        <f t="shared" si="1"/>
        <v>Middle</v>
      </c>
      <c r="E31" s="2"/>
      <c r="F31" s="6">
        <v>16.0</v>
      </c>
      <c r="G31" s="17"/>
      <c r="H31" s="17"/>
      <c r="I31" s="7"/>
      <c r="J31" s="7"/>
      <c r="K31" s="17"/>
      <c r="L31" s="17"/>
      <c r="M31" s="17"/>
      <c r="N31" s="17"/>
      <c r="O31" s="18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10800.0</v>
      </c>
      <c r="B32" s="7" t="s">
        <v>4</v>
      </c>
      <c r="C32" s="7" t="s">
        <v>47</v>
      </c>
      <c r="D32" s="7" t="str">
        <f t="shared" si="1"/>
        <v>Middle</v>
      </c>
      <c r="E32" s="2"/>
      <c r="F32" s="6">
        <v>17.0</v>
      </c>
      <c r="G32" s="17"/>
      <c r="H32" s="17"/>
      <c r="I32" s="7"/>
      <c r="J32" s="7"/>
      <c r="K32" s="17"/>
      <c r="L32" s="17"/>
      <c r="M32" s="17"/>
      <c r="N32" s="17"/>
      <c r="O32" s="18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11000.0</v>
      </c>
      <c r="B33" s="7" t="s">
        <v>48</v>
      </c>
      <c r="C33" s="7" t="s">
        <v>49</v>
      </c>
      <c r="D33" s="7" t="str">
        <f t="shared" si="1"/>
        <v>Middle</v>
      </c>
      <c r="E33" s="2"/>
      <c r="F33" s="6">
        <v>18.0</v>
      </c>
      <c r="G33" s="17"/>
      <c r="H33" s="17"/>
      <c r="I33" s="7"/>
      <c r="J33" s="17"/>
      <c r="K33" s="17"/>
      <c r="L33" s="17"/>
      <c r="M33" s="17"/>
      <c r="N33" s="17"/>
      <c r="O33" s="18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11110.0</v>
      </c>
      <c r="B34" s="7" t="s">
        <v>48</v>
      </c>
      <c r="C34" s="7" t="s">
        <v>50</v>
      </c>
      <c r="D34" s="7" t="str">
        <f t="shared" si="1"/>
        <v>Middle</v>
      </c>
      <c r="E34" s="2"/>
      <c r="F34" s="19">
        <v>19.0</v>
      </c>
      <c r="G34" s="20"/>
      <c r="H34" s="20"/>
      <c r="I34" s="21"/>
      <c r="J34" s="20"/>
      <c r="K34" s="20"/>
      <c r="L34" s="20"/>
      <c r="M34" s="20"/>
      <c r="N34" s="20"/>
      <c r="O34" s="22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11120.0</v>
      </c>
      <c r="B35" s="7" t="s">
        <v>48</v>
      </c>
      <c r="C35" s="7" t="s">
        <v>51</v>
      </c>
      <c r="D35" s="7" t="str">
        <f t="shared" si="1"/>
        <v>Middle</v>
      </c>
      <c r="E35" s="2"/>
      <c r="F35" s="23" t="s">
        <v>52</v>
      </c>
      <c r="G35" s="6">
        <f t="shared" ref="G35:O35" si="2"> COUNTA(G16:G34)</f>
        <v>10</v>
      </c>
      <c r="H35" s="6">
        <f t="shared" si="2"/>
        <v>8</v>
      </c>
      <c r="I35" s="6">
        <f t="shared" si="2"/>
        <v>10</v>
      </c>
      <c r="J35" s="6">
        <f t="shared" si="2"/>
        <v>10</v>
      </c>
      <c r="K35" s="6">
        <f t="shared" si="2"/>
        <v>9</v>
      </c>
      <c r="L35" s="6">
        <f t="shared" si="2"/>
        <v>8</v>
      </c>
      <c r="M35" s="6">
        <f t="shared" si="2"/>
        <v>8</v>
      </c>
      <c r="N35" s="6">
        <f t="shared" si="2"/>
        <v>14</v>
      </c>
      <c r="O35" s="6">
        <f t="shared" si="2"/>
        <v>14</v>
      </c>
      <c r="P35" s="24">
        <f>SUM(G35:O35)</f>
        <v>91</v>
      </c>
      <c r="Q35" s="25" t="s">
        <v>53</v>
      </c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11130.0</v>
      </c>
      <c r="B36" s="7" t="s">
        <v>48</v>
      </c>
      <c r="C36" s="7" t="s">
        <v>54</v>
      </c>
      <c r="D36" s="7" t="str">
        <f t="shared" si="1"/>
        <v>Middle</v>
      </c>
      <c r="E36" s="2"/>
      <c r="F36" s="2"/>
      <c r="G36" s="26"/>
      <c r="H36" s="26"/>
      <c r="I36" s="26"/>
      <c r="J36" s="26"/>
      <c r="K36" s="26"/>
      <c r="L36" s="26"/>
      <c r="M36" s="6"/>
      <c r="N36" s="26"/>
      <c r="O36" s="2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11140.0</v>
      </c>
      <c r="B37" s="7" t="s">
        <v>48</v>
      </c>
      <c r="C37" s="7" t="s">
        <v>55</v>
      </c>
      <c r="D37" s="7" t="str">
        <f t="shared" si="1"/>
        <v>Middle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11150.0</v>
      </c>
      <c r="B38" s="7" t="s">
        <v>48</v>
      </c>
      <c r="C38" s="7" t="s">
        <v>56</v>
      </c>
      <c r="D38" s="7" t="str">
        <f t="shared" si="1"/>
        <v>Middle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12000.0</v>
      </c>
      <c r="B39" s="7" t="s">
        <v>57</v>
      </c>
      <c r="C39" s="7" t="s">
        <v>58</v>
      </c>
      <c r="D39" s="7" t="str">
        <f t="shared" si="1"/>
        <v>Middle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12110.0</v>
      </c>
      <c r="B40" s="7" t="s">
        <v>57</v>
      </c>
      <c r="C40" s="7" t="s">
        <v>59</v>
      </c>
      <c r="D40" s="7" t="str">
        <f t="shared" si="1"/>
        <v>Middle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12120.0</v>
      </c>
      <c r="B41" s="7" t="s">
        <v>57</v>
      </c>
      <c r="C41" s="7" t="s">
        <v>60</v>
      </c>
      <c r="D41" s="7" t="str">
        <f t="shared" si="1"/>
        <v>Middle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12140.0</v>
      </c>
      <c r="B42" s="7" t="s">
        <v>57</v>
      </c>
      <c r="C42" s="7" t="s">
        <v>61</v>
      </c>
      <c r="D42" s="7" t="str">
        <f t="shared" si="1"/>
        <v>Middle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12150.0</v>
      </c>
      <c r="B43" s="7" t="s">
        <v>57</v>
      </c>
      <c r="C43" s="7" t="s">
        <v>62</v>
      </c>
      <c r="D43" s="7" t="str">
        <f t="shared" si="1"/>
        <v>Middle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12160.0</v>
      </c>
      <c r="B44" s="7" t="s">
        <v>57</v>
      </c>
      <c r="C44" s="7" t="s">
        <v>63</v>
      </c>
      <c r="D44" s="7" t="str">
        <f t="shared" si="1"/>
        <v>Middle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12170.0</v>
      </c>
      <c r="B45" s="7" t="s">
        <v>57</v>
      </c>
      <c r="C45" s="7" t="s">
        <v>64</v>
      </c>
      <c r="D45" s="7" t="str">
        <f t="shared" si="1"/>
        <v>Middle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13000.0</v>
      </c>
      <c r="B46" s="7" t="s">
        <v>65</v>
      </c>
      <c r="C46" s="7" t="s">
        <v>66</v>
      </c>
      <c r="D46" s="7" t="str">
        <f t="shared" si="1"/>
        <v>Middle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13110.0</v>
      </c>
      <c r="B47" s="7" t="s">
        <v>65</v>
      </c>
      <c r="C47" s="7" t="s">
        <v>67</v>
      </c>
      <c r="D47" s="7" t="str">
        <f t="shared" si="1"/>
        <v>Middle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13120.0</v>
      </c>
      <c r="B48" s="7" t="s">
        <v>65</v>
      </c>
      <c r="C48" s="7" t="s">
        <v>68</v>
      </c>
      <c r="D48" s="7" t="str">
        <f t="shared" si="1"/>
        <v>Middle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13130.0</v>
      </c>
      <c r="B49" s="7" t="s">
        <v>65</v>
      </c>
      <c r="C49" s="7" t="s">
        <v>69</v>
      </c>
      <c r="D49" s="7" t="str">
        <f t="shared" si="1"/>
        <v>Middle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13140.0</v>
      </c>
      <c r="B50" s="7" t="s">
        <v>65</v>
      </c>
      <c r="C50" s="7" t="s">
        <v>70</v>
      </c>
      <c r="D50" s="7" t="str">
        <f t="shared" si="1"/>
        <v>Middle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13150.0</v>
      </c>
      <c r="B51" s="7" t="s">
        <v>65</v>
      </c>
      <c r="C51" s="7" t="s">
        <v>71</v>
      </c>
      <c r="D51" s="7" t="str">
        <f t="shared" si="1"/>
        <v>Middle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13160.0</v>
      </c>
      <c r="B52" s="7" t="s">
        <v>65</v>
      </c>
      <c r="C52" s="7" t="s">
        <v>72</v>
      </c>
      <c r="D52" s="7" t="str">
        <f t="shared" si="1"/>
        <v>Middle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13170.0</v>
      </c>
      <c r="B53" s="7" t="s">
        <v>65</v>
      </c>
      <c r="C53" s="7" t="s">
        <v>73</v>
      </c>
      <c r="D53" s="7" t="str">
        <f t="shared" si="1"/>
        <v>Middle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13190.0</v>
      </c>
      <c r="B54" s="7" t="s">
        <v>65</v>
      </c>
      <c r="C54" s="7" t="s">
        <v>74</v>
      </c>
      <c r="D54" s="7" t="str">
        <f t="shared" si="1"/>
        <v>Middle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13210.0</v>
      </c>
      <c r="B55" s="7" t="s">
        <v>65</v>
      </c>
      <c r="C55" s="7" t="s">
        <v>75</v>
      </c>
      <c r="D55" s="7" t="str">
        <f t="shared" si="1"/>
        <v>Middle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13220.0</v>
      </c>
      <c r="B56" s="7" t="s">
        <v>65</v>
      </c>
      <c r="C56" s="7" t="s">
        <v>76</v>
      </c>
      <c r="D56" s="7" t="str">
        <f t="shared" si="1"/>
        <v>Middle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13230.0</v>
      </c>
      <c r="B57" s="7" t="s">
        <v>65</v>
      </c>
      <c r="C57" s="7" t="s">
        <v>77</v>
      </c>
      <c r="D57" s="7" t="str">
        <f t="shared" si="1"/>
        <v>Middle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13240.0</v>
      </c>
      <c r="B58" s="7" t="s">
        <v>65</v>
      </c>
      <c r="C58" s="7" t="s">
        <v>78</v>
      </c>
      <c r="D58" s="7" t="str">
        <f t="shared" si="1"/>
        <v>Middle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13250.0</v>
      </c>
      <c r="B59" s="7" t="s">
        <v>65</v>
      </c>
      <c r="C59" s="7" t="s">
        <v>79</v>
      </c>
      <c r="D59" s="7" t="str">
        <f t="shared" si="1"/>
        <v>Middle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13260.0</v>
      </c>
      <c r="B60" s="7" t="s">
        <v>65</v>
      </c>
      <c r="C60" s="7" t="s">
        <v>80</v>
      </c>
      <c r="D60" s="7" t="str">
        <f t="shared" si="1"/>
        <v>Middle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13270.0</v>
      </c>
      <c r="B61" s="7" t="s">
        <v>65</v>
      </c>
      <c r="C61" s="7" t="s">
        <v>74</v>
      </c>
      <c r="D61" s="7" t="str">
        <f t="shared" si="1"/>
        <v>Middle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8">
        <v>14000.0</v>
      </c>
      <c r="B62" s="29" t="s">
        <v>81</v>
      </c>
      <c r="C62" s="29" t="s">
        <v>82</v>
      </c>
      <c r="D62" s="7" t="str">
        <f t="shared" si="1"/>
        <v>Middle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8">
        <v>14110.0</v>
      </c>
      <c r="B63" s="29" t="s">
        <v>81</v>
      </c>
      <c r="C63" s="29" t="s">
        <v>83</v>
      </c>
      <c r="D63" s="7" t="str">
        <f t="shared" si="1"/>
        <v>Middle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8">
        <v>14120.0</v>
      </c>
      <c r="B64" s="29" t="s">
        <v>81</v>
      </c>
      <c r="C64" s="29" t="s">
        <v>84</v>
      </c>
      <c r="D64" s="7" t="str">
        <f t="shared" si="1"/>
        <v>Middle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8">
        <v>14130.0</v>
      </c>
      <c r="B65" s="29" t="s">
        <v>81</v>
      </c>
      <c r="C65" s="29" t="s">
        <v>85</v>
      </c>
      <c r="D65" s="7" t="str">
        <f t="shared" si="1"/>
        <v>Middle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8">
        <v>14140.0</v>
      </c>
      <c r="B66" s="29" t="s">
        <v>81</v>
      </c>
      <c r="C66" s="29" t="s">
        <v>86</v>
      </c>
      <c r="D66" s="7" t="str">
        <f t="shared" si="1"/>
        <v>Middle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8">
        <v>14150.0</v>
      </c>
      <c r="B67" s="29" t="s">
        <v>81</v>
      </c>
      <c r="C67" s="29" t="s">
        <v>87</v>
      </c>
      <c r="D67" s="7" t="str">
        <f t="shared" si="1"/>
        <v>Middle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8">
        <v>14160.0</v>
      </c>
      <c r="B68" s="29" t="s">
        <v>81</v>
      </c>
      <c r="C68" s="29" t="s">
        <v>88</v>
      </c>
      <c r="D68" s="7" t="str">
        <f t="shared" si="1"/>
        <v>Middle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8">
        <v>15000.0</v>
      </c>
      <c r="B69" s="29" t="s">
        <v>89</v>
      </c>
      <c r="C69" s="29" t="s">
        <v>90</v>
      </c>
      <c r="D69" s="7" t="str">
        <f t="shared" si="1"/>
        <v>Middle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8">
        <v>15110.0</v>
      </c>
      <c r="B70" s="29" t="s">
        <v>89</v>
      </c>
      <c r="C70" s="29" t="s">
        <v>91</v>
      </c>
      <c r="D70" s="7" t="str">
        <f t="shared" si="1"/>
        <v>Middle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8">
        <v>15120.0</v>
      </c>
      <c r="B71" s="29" t="s">
        <v>89</v>
      </c>
      <c r="C71" s="29" t="s">
        <v>92</v>
      </c>
      <c r="D71" s="7" t="str">
        <f t="shared" si="1"/>
        <v>Middle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8">
        <v>15130.0</v>
      </c>
      <c r="B72" s="29" t="s">
        <v>89</v>
      </c>
      <c r="C72" s="29" t="s">
        <v>93</v>
      </c>
      <c r="D72" s="7" t="str">
        <f t="shared" si="1"/>
        <v>Middle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8">
        <v>15140.0</v>
      </c>
      <c r="B73" s="29" t="s">
        <v>89</v>
      </c>
      <c r="C73" s="29" t="s">
        <v>94</v>
      </c>
      <c r="D73" s="7" t="str">
        <f t="shared" si="1"/>
        <v>Middle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8">
        <v>15150.0</v>
      </c>
      <c r="B74" s="29" t="s">
        <v>89</v>
      </c>
      <c r="C74" s="29" t="s">
        <v>95</v>
      </c>
      <c r="D74" s="7" t="str">
        <f t="shared" si="1"/>
        <v>Middle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8">
        <v>15170.0</v>
      </c>
      <c r="B75" s="29" t="s">
        <v>89</v>
      </c>
      <c r="C75" s="29" t="s">
        <v>96</v>
      </c>
      <c r="D75" s="7" t="str">
        <f t="shared" si="1"/>
        <v>Middle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8">
        <v>15190.0</v>
      </c>
      <c r="B76" s="29" t="s">
        <v>89</v>
      </c>
      <c r="C76" s="29" t="s">
        <v>97</v>
      </c>
      <c r="D76" s="7" t="str">
        <f t="shared" si="1"/>
        <v>Middle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8">
        <v>15240.0</v>
      </c>
      <c r="B77" s="29" t="s">
        <v>89</v>
      </c>
      <c r="C77" s="29" t="s">
        <v>98</v>
      </c>
      <c r="D77" s="7" t="str">
        <f t="shared" si="1"/>
        <v>Middle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8">
        <v>15250.0</v>
      </c>
      <c r="B78" s="29" t="s">
        <v>89</v>
      </c>
      <c r="C78" s="29" t="s">
        <v>99</v>
      </c>
      <c r="D78" s="7" t="str">
        <f t="shared" si="1"/>
        <v>Middle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8">
        <v>16000.0</v>
      </c>
      <c r="B79" s="29" t="s">
        <v>100</v>
      </c>
      <c r="C79" s="29" t="s">
        <v>101</v>
      </c>
      <c r="D79" s="7" t="str">
        <f t="shared" si="1"/>
        <v>Middle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8">
        <v>16110.0</v>
      </c>
      <c r="B80" s="29" t="s">
        <v>100</v>
      </c>
      <c r="C80" s="29" t="s">
        <v>102</v>
      </c>
      <c r="D80" s="7" t="str">
        <f t="shared" si="1"/>
        <v>Middle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8">
        <v>16120.0</v>
      </c>
      <c r="B81" s="29" t="s">
        <v>100</v>
      </c>
      <c r="C81" s="29" t="s">
        <v>103</v>
      </c>
      <c r="D81" s="7" t="str">
        <f t="shared" si="1"/>
        <v>Middle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8">
        <v>16130.0</v>
      </c>
      <c r="B82" s="29" t="s">
        <v>100</v>
      </c>
      <c r="C82" s="29" t="s">
        <v>104</v>
      </c>
      <c r="D82" s="7" t="str">
        <f t="shared" si="1"/>
        <v>Middle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8">
        <v>16140.0</v>
      </c>
      <c r="B83" s="29" t="s">
        <v>100</v>
      </c>
      <c r="C83" s="29" t="s">
        <v>105</v>
      </c>
      <c r="D83" s="7" t="str">
        <f t="shared" si="1"/>
        <v>Middle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8">
        <v>16150.0</v>
      </c>
      <c r="B84" s="29" t="s">
        <v>100</v>
      </c>
      <c r="C84" s="29" t="s">
        <v>106</v>
      </c>
      <c r="D84" s="7" t="str">
        <f t="shared" si="1"/>
        <v>Middle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8">
        <v>17000.0</v>
      </c>
      <c r="B85" s="29" t="s">
        <v>107</v>
      </c>
      <c r="C85" s="29" t="s">
        <v>108</v>
      </c>
      <c r="D85" s="7" t="str">
        <f t="shared" si="1"/>
        <v>Middle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8">
        <v>17100.0</v>
      </c>
      <c r="B86" s="29" t="s">
        <v>107</v>
      </c>
      <c r="C86" s="29" t="s">
        <v>109</v>
      </c>
      <c r="D86" s="7" t="str">
        <f t="shared" si="1"/>
        <v>Middle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8">
        <v>17110.0</v>
      </c>
      <c r="B87" s="29" t="s">
        <v>107</v>
      </c>
      <c r="C87" s="29" t="s">
        <v>110</v>
      </c>
      <c r="D87" s="7" t="str">
        <f t="shared" si="1"/>
        <v>Middle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8">
        <v>17120.0</v>
      </c>
      <c r="B88" s="29" t="s">
        <v>107</v>
      </c>
      <c r="C88" s="29" t="s">
        <v>111</v>
      </c>
      <c r="D88" s="7" t="str">
        <f t="shared" si="1"/>
        <v>Middle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8">
        <v>17130.0</v>
      </c>
      <c r="B89" s="29" t="s">
        <v>107</v>
      </c>
      <c r="C89" s="29" t="s">
        <v>112</v>
      </c>
      <c r="D89" s="7" t="str">
        <f t="shared" si="1"/>
        <v>Middle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8">
        <v>17140.0</v>
      </c>
      <c r="B90" s="29" t="s">
        <v>107</v>
      </c>
      <c r="C90" s="29" t="s">
        <v>113</v>
      </c>
      <c r="D90" s="7" t="str">
        <f t="shared" si="1"/>
        <v>Middle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8">
        <v>17150.0</v>
      </c>
      <c r="B91" s="29" t="s">
        <v>107</v>
      </c>
      <c r="C91" s="29" t="s">
        <v>114</v>
      </c>
      <c r="D91" s="7" t="str">
        <f t="shared" si="1"/>
        <v>Middle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8">
        <v>18000.0</v>
      </c>
      <c r="B92" s="29" t="s">
        <v>115</v>
      </c>
      <c r="C92" s="29" t="s">
        <v>116</v>
      </c>
      <c r="D92" s="7" t="str">
        <f t="shared" si="1"/>
        <v>Middle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8">
        <v>18110.0</v>
      </c>
      <c r="B93" s="29" t="s">
        <v>115</v>
      </c>
      <c r="C93" s="29" t="s">
        <v>117</v>
      </c>
      <c r="D93" s="7" t="str">
        <f t="shared" si="1"/>
        <v>Middle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8">
        <v>18120.0</v>
      </c>
      <c r="B94" s="29" t="s">
        <v>115</v>
      </c>
      <c r="C94" s="29" t="s">
        <v>118</v>
      </c>
      <c r="D94" s="7" t="str">
        <f t="shared" si="1"/>
        <v>Middle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8">
        <v>18130.0</v>
      </c>
      <c r="B95" s="29" t="s">
        <v>115</v>
      </c>
      <c r="C95" s="29" t="s">
        <v>119</v>
      </c>
      <c r="D95" s="7" t="str">
        <f t="shared" si="1"/>
        <v>Middle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8">
        <v>18140.0</v>
      </c>
      <c r="B96" s="29" t="s">
        <v>115</v>
      </c>
      <c r="C96" s="29" t="s">
        <v>120</v>
      </c>
      <c r="D96" s="7" t="str">
        <f t="shared" si="1"/>
        <v>Middle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8">
        <v>18150.0</v>
      </c>
      <c r="B97" s="29" t="s">
        <v>115</v>
      </c>
      <c r="C97" s="29" t="s">
        <v>121</v>
      </c>
      <c r="D97" s="7" t="str">
        <f t="shared" si="1"/>
        <v>Middle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8">
        <v>18160.0</v>
      </c>
      <c r="B98" s="29" t="s">
        <v>115</v>
      </c>
      <c r="C98" s="29" t="s">
        <v>122</v>
      </c>
      <c r="D98" s="7" t="str">
        <f t="shared" si="1"/>
        <v>Middle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8">
        <v>18170.0</v>
      </c>
      <c r="B99" s="29" t="s">
        <v>115</v>
      </c>
      <c r="C99" s="29" t="s">
        <v>123</v>
      </c>
      <c r="D99" s="7" t="str">
        <f t="shared" si="1"/>
        <v>Middle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8">
        <v>18180.0</v>
      </c>
      <c r="B100" s="29" t="s">
        <v>115</v>
      </c>
      <c r="C100" s="29" t="s">
        <v>124</v>
      </c>
      <c r="D100" s="7" t="str">
        <f t="shared" si="1"/>
        <v>Middle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8">
        <v>18190.0</v>
      </c>
      <c r="B101" s="29" t="s">
        <v>115</v>
      </c>
      <c r="C101" s="29" t="s">
        <v>125</v>
      </c>
      <c r="D101" s="7" t="str">
        <f t="shared" si="1"/>
        <v>Middle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8">
        <v>18210.0</v>
      </c>
      <c r="B102" s="29" t="s">
        <v>115</v>
      </c>
      <c r="C102" s="29" t="s">
        <v>126</v>
      </c>
      <c r="D102" s="7" t="str">
        <f t="shared" si="1"/>
        <v>Middle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8">
        <v>18220.0</v>
      </c>
      <c r="B103" s="29" t="s">
        <v>115</v>
      </c>
      <c r="C103" s="29" t="s">
        <v>127</v>
      </c>
      <c r="D103" s="7" t="str">
        <f t="shared" si="1"/>
        <v>Middle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8">
        <v>20000.0</v>
      </c>
      <c r="B104" s="29" t="s">
        <v>128</v>
      </c>
      <c r="C104" s="29" t="s">
        <v>129</v>
      </c>
      <c r="D104" s="7" t="str">
        <f t="shared" si="1"/>
        <v>East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8">
        <v>20110.0</v>
      </c>
      <c r="B105" s="29" t="s">
        <v>128</v>
      </c>
      <c r="C105" s="29" t="s">
        <v>130</v>
      </c>
      <c r="D105" s="7" t="str">
        <f t="shared" si="1"/>
        <v>East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8">
        <v>20120.0</v>
      </c>
      <c r="B106" s="29" t="s">
        <v>128</v>
      </c>
      <c r="C106" s="29" t="s">
        <v>131</v>
      </c>
      <c r="D106" s="7" t="str">
        <f t="shared" si="1"/>
        <v>East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8">
        <v>20140.0</v>
      </c>
      <c r="B107" s="29" t="s">
        <v>128</v>
      </c>
      <c r="C107" s="29" t="s">
        <v>132</v>
      </c>
      <c r="D107" s="7" t="str">
        <f t="shared" si="1"/>
        <v>East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8">
        <v>20150.0</v>
      </c>
      <c r="B108" s="29" t="s">
        <v>128</v>
      </c>
      <c r="C108" s="29" t="s">
        <v>133</v>
      </c>
      <c r="D108" s="7" t="str">
        <f t="shared" si="1"/>
        <v>East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8">
        <v>20160.0</v>
      </c>
      <c r="B109" s="29" t="s">
        <v>128</v>
      </c>
      <c r="C109" s="29" t="s">
        <v>134</v>
      </c>
      <c r="D109" s="7" t="str">
        <f t="shared" si="1"/>
        <v>East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8">
        <v>20170.0</v>
      </c>
      <c r="B110" s="29" t="s">
        <v>128</v>
      </c>
      <c r="C110" s="29" t="s">
        <v>135</v>
      </c>
      <c r="D110" s="7" t="str">
        <f t="shared" si="1"/>
        <v>East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8">
        <v>20180.0</v>
      </c>
      <c r="B111" s="29" t="s">
        <v>128</v>
      </c>
      <c r="C111" s="29" t="s">
        <v>136</v>
      </c>
      <c r="D111" s="7" t="str">
        <f t="shared" si="1"/>
        <v>East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8">
        <v>20190.0</v>
      </c>
      <c r="B112" s="29" t="s">
        <v>128</v>
      </c>
      <c r="C112" s="29" t="s">
        <v>137</v>
      </c>
      <c r="D112" s="7" t="str">
        <f t="shared" si="1"/>
        <v>East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8">
        <v>20240.0</v>
      </c>
      <c r="B113" s="29" t="s">
        <v>128</v>
      </c>
      <c r="C113" s="29" t="s">
        <v>138</v>
      </c>
      <c r="D113" s="7" t="str">
        <f t="shared" si="1"/>
        <v>East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8">
        <v>20270.0</v>
      </c>
      <c r="B114" s="29" t="s">
        <v>128</v>
      </c>
      <c r="C114" s="29" t="s">
        <v>139</v>
      </c>
      <c r="D114" s="7" t="str">
        <f t="shared" si="1"/>
        <v>East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8">
        <v>21000.0</v>
      </c>
      <c r="B115" s="29" t="s">
        <v>140</v>
      </c>
      <c r="C115" s="29" t="s">
        <v>141</v>
      </c>
      <c r="D115" s="7" t="str">
        <f t="shared" si="1"/>
        <v>East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8">
        <v>21110.0</v>
      </c>
      <c r="B116" s="29" t="s">
        <v>140</v>
      </c>
      <c r="C116" s="29" t="s">
        <v>142</v>
      </c>
      <c r="D116" s="7" t="str">
        <f t="shared" si="1"/>
        <v>East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8">
        <v>21120.0</v>
      </c>
      <c r="B117" s="29" t="s">
        <v>140</v>
      </c>
      <c r="C117" s="29" t="s">
        <v>143</v>
      </c>
      <c r="D117" s="7" t="str">
        <f t="shared" si="1"/>
        <v>East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8">
        <v>21130.0</v>
      </c>
      <c r="B118" s="29" t="s">
        <v>140</v>
      </c>
      <c r="C118" s="29" t="s">
        <v>144</v>
      </c>
      <c r="D118" s="7" t="str">
        <f t="shared" si="1"/>
        <v>East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8">
        <v>21140.0</v>
      </c>
      <c r="B119" s="29" t="s">
        <v>140</v>
      </c>
      <c r="C119" s="29" t="s">
        <v>145</v>
      </c>
      <c r="D119" s="7" t="str">
        <f t="shared" si="1"/>
        <v>East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8">
        <v>21180.0</v>
      </c>
      <c r="B120" s="29" t="s">
        <v>140</v>
      </c>
      <c r="C120" s="29" t="s">
        <v>146</v>
      </c>
      <c r="D120" s="7" t="str">
        <f t="shared" si="1"/>
        <v>East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8">
        <v>21210.0</v>
      </c>
      <c r="B121" s="29" t="s">
        <v>140</v>
      </c>
      <c r="C121" s="29" t="s">
        <v>147</v>
      </c>
      <c r="D121" s="7" t="str">
        <f t="shared" si="1"/>
        <v>East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8">
        <v>22000.0</v>
      </c>
      <c r="B122" s="29" t="s">
        <v>148</v>
      </c>
      <c r="C122" s="29" t="s">
        <v>149</v>
      </c>
      <c r="D122" s="7" t="str">
        <f t="shared" si="1"/>
        <v>East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8">
        <v>22110.0</v>
      </c>
      <c r="B123" s="29" t="s">
        <v>148</v>
      </c>
      <c r="C123" s="29" t="s">
        <v>150</v>
      </c>
      <c r="D123" s="7" t="str">
        <f t="shared" si="1"/>
        <v>East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8">
        <v>22120.0</v>
      </c>
      <c r="B124" s="29" t="s">
        <v>148</v>
      </c>
      <c r="C124" s="29" t="s">
        <v>151</v>
      </c>
      <c r="D124" s="7" t="str">
        <f t="shared" si="1"/>
        <v>East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8">
        <v>22130.0</v>
      </c>
      <c r="B125" s="29" t="s">
        <v>148</v>
      </c>
      <c r="C125" s="29" t="s">
        <v>152</v>
      </c>
      <c r="D125" s="7" t="str">
        <f t="shared" si="1"/>
        <v>East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8">
        <v>22140.0</v>
      </c>
      <c r="B126" s="29" t="s">
        <v>148</v>
      </c>
      <c r="C126" s="29" t="s">
        <v>153</v>
      </c>
      <c r="D126" s="7" t="str">
        <f t="shared" si="1"/>
        <v>East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8">
        <v>22150.0</v>
      </c>
      <c r="B127" s="29" t="s">
        <v>148</v>
      </c>
      <c r="C127" s="29" t="s">
        <v>154</v>
      </c>
      <c r="D127" s="7" t="str">
        <f t="shared" si="1"/>
        <v>East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8">
        <v>22160.0</v>
      </c>
      <c r="B128" s="29" t="s">
        <v>148</v>
      </c>
      <c r="C128" s="29" t="s">
        <v>155</v>
      </c>
      <c r="D128" s="7" t="str">
        <f t="shared" si="1"/>
        <v>East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8">
        <v>22180.0</v>
      </c>
      <c r="B129" s="29" t="s">
        <v>148</v>
      </c>
      <c r="C129" s="29" t="s">
        <v>156</v>
      </c>
      <c r="D129" s="7" t="str">
        <f t="shared" si="1"/>
        <v>East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8">
        <v>22210.0</v>
      </c>
      <c r="B130" s="29" t="s">
        <v>148</v>
      </c>
      <c r="C130" s="29" t="s">
        <v>157</v>
      </c>
      <c r="D130" s="7" t="str">
        <f t="shared" si="1"/>
        <v>East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8">
        <v>23000.0</v>
      </c>
      <c r="B131" s="29" t="s">
        <v>158</v>
      </c>
      <c r="C131" s="29" t="s">
        <v>159</v>
      </c>
      <c r="D131" s="7" t="str">
        <f t="shared" si="1"/>
        <v>East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8">
        <v>23110.0</v>
      </c>
      <c r="B132" s="29" t="s">
        <v>158</v>
      </c>
      <c r="C132" s="29" t="s">
        <v>160</v>
      </c>
      <c r="D132" s="7" t="str">
        <f t="shared" si="1"/>
        <v>East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8">
        <v>23120.0</v>
      </c>
      <c r="B133" s="29" t="s">
        <v>158</v>
      </c>
      <c r="C133" s="29" t="s">
        <v>161</v>
      </c>
      <c r="D133" s="7" t="str">
        <f t="shared" si="1"/>
        <v>East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8">
        <v>23130.0</v>
      </c>
      <c r="B134" s="29" t="s">
        <v>158</v>
      </c>
      <c r="C134" s="29" t="s">
        <v>162</v>
      </c>
      <c r="D134" s="7" t="str">
        <f t="shared" si="1"/>
        <v>East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8">
        <v>23140.0</v>
      </c>
      <c r="B135" s="29" t="s">
        <v>158</v>
      </c>
      <c r="C135" s="29" t="s">
        <v>163</v>
      </c>
      <c r="D135" s="7" t="str">
        <f t="shared" si="1"/>
        <v>East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8">
        <v>24000.0</v>
      </c>
      <c r="B136" s="29" t="s">
        <v>164</v>
      </c>
      <c r="C136" s="29" t="s">
        <v>165</v>
      </c>
      <c r="D136" s="7" t="str">
        <f t="shared" si="1"/>
        <v>East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8">
        <v>24110.0</v>
      </c>
      <c r="B137" s="29" t="s">
        <v>164</v>
      </c>
      <c r="C137" s="29" t="s">
        <v>166</v>
      </c>
      <c r="D137" s="7" t="str">
        <f t="shared" si="1"/>
        <v>East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8">
        <v>24120.0</v>
      </c>
      <c r="B138" s="29" t="s">
        <v>164</v>
      </c>
      <c r="C138" s="29" t="s">
        <v>167</v>
      </c>
      <c r="D138" s="7" t="str">
        <f t="shared" si="1"/>
        <v>East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8">
        <v>24130.0</v>
      </c>
      <c r="B139" s="29" t="s">
        <v>164</v>
      </c>
      <c r="C139" s="29" t="s">
        <v>168</v>
      </c>
      <c r="D139" s="7" t="str">
        <f t="shared" si="1"/>
        <v>East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8">
        <v>24140.0</v>
      </c>
      <c r="B140" s="29" t="s">
        <v>164</v>
      </c>
      <c r="C140" s="29" t="s">
        <v>169</v>
      </c>
      <c r="D140" s="7" t="str">
        <f t="shared" si="1"/>
        <v>East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8">
        <v>24150.0</v>
      </c>
      <c r="B141" s="29" t="s">
        <v>164</v>
      </c>
      <c r="C141" s="29" t="s">
        <v>170</v>
      </c>
      <c r="D141" s="7" t="str">
        <f t="shared" si="1"/>
        <v>East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8">
        <v>24160.0</v>
      </c>
      <c r="B142" s="29" t="s">
        <v>164</v>
      </c>
      <c r="C142" s="29" t="s">
        <v>171</v>
      </c>
      <c r="D142" s="7" t="str">
        <f t="shared" si="1"/>
        <v>East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8">
        <v>24190.0</v>
      </c>
      <c r="B143" s="29" t="s">
        <v>164</v>
      </c>
      <c r="C143" s="29" t="s">
        <v>172</v>
      </c>
      <c r="D143" s="7" t="str">
        <f t="shared" si="1"/>
        <v>East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8">
        <v>25000.0</v>
      </c>
      <c r="B144" s="29" t="s">
        <v>173</v>
      </c>
      <c r="C144" s="29" t="s">
        <v>174</v>
      </c>
      <c r="D144" s="7" t="str">
        <f t="shared" si="1"/>
        <v>East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8">
        <v>25110.0</v>
      </c>
      <c r="B145" s="29" t="s">
        <v>173</v>
      </c>
      <c r="C145" s="29" t="s">
        <v>175</v>
      </c>
      <c r="D145" s="7" t="str">
        <f t="shared" si="1"/>
        <v>East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8">
        <v>25130.0</v>
      </c>
      <c r="B146" s="29" t="s">
        <v>173</v>
      </c>
      <c r="C146" s="29" t="s">
        <v>176</v>
      </c>
      <c r="D146" s="7" t="str">
        <f t="shared" si="1"/>
        <v>East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8">
        <v>25140.0</v>
      </c>
      <c r="B147" s="29" t="s">
        <v>173</v>
      </c>
      <c r="C147" s="29" t="s">
        <v>177</v>
      </c>
      <c r="D147" s="7" t="str">
        <f t="shared" si="1"/>
        <v>East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8">
        <v>25150.0</v>
      </c>
      <c r="B148" s="29" t="s">
        <v>173</v>
      </c>
      <c r="C148" s="29" t="s">
        <v>178</v>
      </c>
      <c r="D148" s="7" t="str">
        <f t="shared" si="1"/>
        <v>East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8">
        <v>25190.0</v>
      </c>
      <c r="B149" s="29" t="s">
        <v>173</v>
      </c>
      <c r="C149" s="29" t="s">
        <v>179</v>
      </c>
      <c r="D149" s="7" t="str">
        <f t="shared" si="1"/>
        <v>East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8">
        <v>25220.0</v>
      </c>
      <c r="B150" s="29" t="s">
        <v>173</v>
      </c>
      <c r="C150" s="29" t="s">
        <v>180</v>
      </c>
      <c r="D150" s="7" t="str">
        <f t="shared" si="1"/>
        <v>East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8">
        <v>26000.0</v>
      </c>
      <c r="B151" s="29" t="s">
        <v>181</v>
      </c>
      <c r="C151" s="29" t="s">
        <v>182</v>
      </c>
      <c r="D151" s="7" t="str">
        <f t="shared" si="1"/>
        <v>East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8">
        <v>26110.0</v>
      </c>
      <c r="B152" s="29" t="s">
        <v>181</v>
      </c>
      <c r="C152" s="29" t="s">
        <v>183</v>
      </c>
      <c r="D152" s="7" t="str">
        <f t="shared" si="1"/>
        <v>East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8">
        <v>26120.0</v>
      </c>
      <c r="B153" s="29" t="s">
        <v>181</v>
      </c>
      <c r="C153" s="29" t="s">
        <v>184</v>
      </c>
      <c r="D153" s="7" t="str">
        <f t="shared" si="1"/>
        <v>East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8">
        <v>26130.0</v>
      </c>
      <c r="B154" s="29" t="s">
        <v>181</v>
      </c>
      <c r="C154" s="29" t="s">
        <v>185</v>
      </c>
      <c r="D154" s="7" t="str">
        <f t="shared" si="1"/>
        <v>East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8">
        <v>27000.0</v>
      </c>
      <c r="B155" s="29" t="s">
        <v>186</v>
      </c>
      <c r="C155" s="29" t="s">
        <v>187</v>
      </c>
      <c r="D155" s="7" t="str">
        <f t="shared" si="1"/>
        <v>East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8">
        <v>27120.0</v>
      </c>
      <c r="B156" s="29" t="s">
        <v>186</v>
      </c>
      <c r="C156" s="29" t="s">
        <v>188</v>
      </c>
      <c r="D156" s="7" t="str">
        <f t="shared" si="1"/>
        <v>East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8">
        <v>27160.0</v>
      </c>
      <c r="B157" s="29" t="s">
        <v>186</v>
      </c>
      <c r="C157" s="29" t="s">
        <v>189</v>
      </c>
      <c r="D157" s="7" t="str">
        <f t="shared" si="1"/>
        <v>East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8">
        <v>27180.0</v>
      </c>
      <c r="B158" s="29" t="s">
        <v>186</v>
      </c>
      <c r="C158" s="29" t="s">
        <v>190</v>
      </c>
      <c r="D158" s="7" t="str">
        <f t="shared" si="1"/>
        <v>East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8">
        <v>27250.0</v>
      </c>
      <c r="B159" s="29" t="s">
        <v>186</v>
      </c>
      <c r="C159" s="29" t="s">
        <v>191</v>
      </c>
      <c r="D159" s="7" t="str">
        <f t="shared" si="1"/>
        <v>East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8">
        <v>27260.0</v>
      </c>
      <c r="B160" s="29" t="s">
        <v>186</v>
      </c>
      <c r="C160" s="29" t="s">
        <v>192</v>
      </c>
      <c r="D160" s="7" t="str">
        <f t="shared" si="1"/>
        <v>East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8">
        <v>30000.0</v>
      </c>
      <c r="B161" s="29" t="s">
        <v>193</v>
      </c>
      <c r="C161" s="29" t="s">
        <v>194</v>
      </c>
      <c r="D161" s="7" t="str">
        <f t="shared" si="1"/>
        <v>East/North (L)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8">
        <v>30110.0</v>
      </c>
      <c r="B162" s="29" t="s">
        <v>193</v>
      </c>
      <c r="C162" s="29" t="s">
        <v>195</v>
      </c>
      <c r="D162" s="7" t="str">
        <f t="shared" si="1"/>
        <v>East/North (L)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8">
        <v>30120.0</v>
      </c>
      <c r="B163" s="29" t="s">
        <v>193</v>
      </c>
      <c r="C163" s="29" t="s">
        <v>196</v>
      </c>
      <c r="D163" s="7" t="str">
        <f t="shared" si="1"/>
        <v>East/North (L)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8">
        <v>30130.0</v>
      </c>
      <c r="B164" s="29" t="s">
        <v>193</v>
      </c>
      <c r="C164" s="29" t="s">
        <v>197</v>
      </c>
      <c r="D164" s="7" t="str">
        <f t="shared" si="1"/>
        <v>East/North (L)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8">
        <v>30140.0</v>
      </c>
      <c r="B165" s="29" t="s">
        <v>193</v>
      </c>
      <c r="C165" s="29" t="s">
        <v>198</v>
      </c>
      <c r="D165" s="7" t="str">
        <f t="shared" si="1"/>
        <v>East/North (L)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8">
        <v>30150.0</v>
      </c>
      <c r="B166" s="29" t="s">
        <v>193</v>
      </c>
      <c r="C166" s="29" t="s">
        <v>199</v>
      </c>
      <c r="D166" s="7" t="str">
        <f t="shared" si="1"/>
        <v>East/North (L)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8">
        <v>30160.0</v>
      </c>
      <c r="B167" s="29" t="s">
        <v>193</v>
      </c>
      <c r="C167" s="29" t="s">
        <v>200</v>
      </c>
      <c r="D167" s="7" t="str">
        <f t="shared" si="1"/>
        <v>East/North (L)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8">
        <v>30170.0</v>
      </c>
      <c r="B168" s="29" t="s">
        <v>193</v>
      </c>
      <c r="C168" s="29" t="s">
        <v>201</v>
      </c>
      <c r="D168" s="7" t="str">
        <f t="shared" si="1"/>
        <v>East/North (L)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8">
        <v>30180.0</v>
      </c>
      <c r="B169" s="29" t="s">
        <v>193</v>
      </c>
      <c r="C169" s="29" t="s">
        <v>202</v>
      </c>
      <c r="D169" s="7" t="str">
        <f t="shared" si="1"/>
        <v>East/North (L)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8">
        <v>30190.0</v>
      </c>
      <c r="B170" s="29" t="s">
        <v>193</v>
      </c>
      <c r="C170" s="29" t="s">
        <v>203</v>
      </c>
      <c r="D170" s="7" t="str">
        <f t="shared" si="1"/>
        <v>East/North (L)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8">
        <v>30210.0</v>
      </c>
      <c r="B171" s="29" t="s">
        <v>193</v>
      </c>
      <c r="C171" s="29" t="s">
        <v>204</v>
      </c>
      <c r="D171" s="7" t="str">
        <f t="shared" si="1"/>
        <v>East/North (L)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8">
        <v>30220.0</v>
      </c>
      <c r="B172" s="29" t="s">
        <v>193</v>
      </c>
      <c r="C172" s="29" t="s">
        <v>205</v>
      </c>
      <c r="D172" s="7" t="str">
        <f t="shared" si="1"/>
        <v>East/North (L)</v>
      </c>
      <c r="E172" s="2"/>
      <c r="F172" s="2"/>
      <c r="H172" s="2"/>
      <c r="I172" s="2"/>
      <c r="J172" s="2"/>
      <c r="K172" s="2"/>
      <c r="L172" s="2"/>
      <c r="M172" s="2"/>
      <c r="N172" s="2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8">
        <v>30230.0</v>
      </c>
      <c r="B173" s="29" t="s">
        <v>193</v>
      </c>
      <c r="C173" s="29" t="s">
        <v>206</v>
      </c>
      <c r="D173" s="7" t="str">
        <f t="shared" si="1"/>
        <v>East/North (L)</v>
      </c>
      <c r="E173" s="2"/>
      <c r="F173" s="2"/>
      <c r="H173" s="2"/>
      <c r="I173" s="2"/>
      <c r="J173" s="2"/>
      <c r="K173" s="2"/>
      <c r="L173" s="2"/>
      <c r="M173" s="2"/>
      <c r="N173" s="2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8">
        <v>30240.0</v>
      </c>
      <c r="B174" s="29" t="s">
        <v>193</v>
      </c>
      <c r="C174" s="29" t="s">
        <v>207</v>
      </c>
      <c r="D174" s="7" t="str">
        <f t="shared" si="1"/>
        <v>East/North (L)</v>
      </c>
      <c r="E174" s="2"/>
      <c r="F174" s="2"/>
      <c r="H174" s="2"/>
      <c r="I174" s="2"/>
      <c r="J174" s="2"/>
      <c r="K174" s="2"/>
      <c r="L174" s="2"/>
      <c r="M174" s="2"/>
      <c r="N174" s="2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8">
        <v>30250.0</v>
      </c>
      <c r="B175" s="29" t="s">
        <v>193</v>
      </c>
      <c r="C175" s="29" t="s">
        <v>208</v>
      </c>
      <c r="D175" s="7" t="str">
        <f t="shared" si="1"/>
        <v>East/North (L)</v>
      </c>
      <c r="E175" s="2"/>
      <c r="F175" s="2"/>
      <c r="H175" s="2"/>
      <c r="I175" s="2"/>
      <c r="J175" s="2"/>
      <c r="K175" s="2"/>
      <c r="L175" s="2"/>
      <c r="M175" s="2"/>
      <c r="N175" s="2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8">
        <v>30260.0</v>
      </c>
      <c r="B176" s="29" t="s">
        <v>193</v>
      </c>
      <c r="C176" s="29" t="s">
        <v>209</v>
      </c>
      <c r="D176" s="7" t="str">
        <f t="shared" si="1"/>
        <v>East/North (L)</v>
      </c>
      <c r="E176" s="2"/>
      <c r="F176" s="2"/>
      <c r="H176" s="2"/>
      <c r="I176" s="2"/>
      <c r="J176" s="2"/>
      <c r="K176" s="2"/>
      <c r="L176" s="2"/>
      <c r="M176" s="2"/>
      <c r="N176" s="2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8">
        <v>30270.0</v>
      </c>
      <c r="B177" s="29" t="s">
        <v>193</v>
      </c>
      <c r="C177" s="29" t="s">
        <v>210</v>
      </c>
      <c r="D177" s="7" t="str">
        <f t="shared" si="1"/>
        <v>East/North (L)</v>
      </c>
      <c r="E177" s="2"/>
      <c r="F177" s="2"/>
      <c r="H177" s="2"/>
      <c r="I177" s="2"/>
      <c r="J177" s="2"/>
      <c r="K177" s="2"/>
      <c r="L177" s="2"/>
      <c r="M177" s="2"/>
      <c r="N177" s="2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8">
        <v>30280.0</v>
      </c>
      <c r="B178" s="29" t="s">
        <v>193</v>
      </c>
      <c r="C178" s="29" t="s">
        <v>211</v>
      </c>
      <c r="D178" s="7" t="str">
        <f t="shared" si="1"/>
        <v>East/North (L)</v>
      </c>
      <c r="E178" s="2"/>
      <c r="F178" s="2"/>
      <c r="H178" s="2"/>
      <c r="I178" s="2"/>
      <c r="J178" s="2"/>
      <c r="K178" s="2"/>
      <c r="L178" s="2"/>
      <c r="M178" s="2"/>
      <c r="N178" s="2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8">
        <v>30290.0</v>
      </c>
      <c r="B179" s="29" t="s">
        <v>193</v>
      </c>
      <c r="C179" s="29" t="s">
        <v>212</v>
      </c>
      <c r="D179" s="7" t="str">
        <f t="shared" si="1"/>
        <v>East/North (L)</v>
      </c>
      <c r="E179" s="2"/>
      <c r="F179" s="2"/>
      <c r="H179" s="2"/>
      <c r="I179" s="2"/>
      <c r="J179" s="2"/>
      <c r="K179" s="2"/>
      <c r="L179" s="2"/>
      <c r="M179" s="2"/>
      <c r="N179" s="2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8">
        <v>30330.0</v>
      </c>
      <c r="B180" s="29" t="s">
        <v>193</v>
      </c>
      <c r="C180" s="29" t="s">
        <v>213</v>
      </c>
      <c r="D180" s="7" t="str">
        <f t="shared" si="1"/>
        <v>East/North (L)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8">
        <v>30350.0</v>
      </c>
      <c r="B181" s="29" t="s">
        <v>193</v>
      </c>
      <c r="C181" s="29" t="s">
        <v>214</v>
      </c>
      <c r="D181" s="7" t="str">
        <f t="shared" si="1"/>
        <v>East/North (L)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8">
        <v>30360.0</v>
      </c>
      <c r="B182" s="29" t="s">
        <v>193</v>
      </c>
      <c r="C182" s="29" t="s">
        <v>215</v>
      </c>
      <c r="D182" s="7" t="str">
        <f t="shared" si="1"/>
        <v>East/North (L)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8">
        <v>30370.0</v>
      </c>
      <c r="B183" s="29" t="s">
        <v>193</v>
      </c>
      <c r="C183" s="29" t="s">
        <v>216</v>
      </c>
      <c r="D183" s="7" t="str">
        <f t="shared" si="1"/>
        <v>East/North (L)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8">
        <v>30410.0</v>
      </c>
      <c r="B184" s="29" t="s">
        <v>193</v>
      </c>
      <c r="C184" s="29" t="s">
        <v>217</v>
      </c>
      <c r="D184" s="7" t="str">
        <f t="shared" si="1"/>
        <v>East/North (L)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8">
        <v>30430.0</v>
      </c>
      <c r="B185" s="29" t="s">
        <v>193</v>
      </c>
      <c r="C185" s="29" t="s">
        <v>218</v>
      </c>
      <c r="D185" s="7" t="str">
        <f t="shared" si="1"/>
        <v>East/North (L)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8">
        <v>30440.0</v>
      </c>
      <c r="B186" s="29" t="s">
        <v>193</v>
      </c>
      <c r="C186" s="29" t="s">
        <v>219</v>
      </c>
      <c r="D186" s="7" t="str">
        <f t="shared" si="1"/>
        <v>East/North (L)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8">
        <v>31000.0</v>
      </c>
      <c r="B187" s="29" t="s">
        <v>220</v>
      </c>
      <c r="C187" s="29" t="s">
        <v>221</v>
      </c>
      <c r="D187" s="7" t="str">
        <f t="shared" si="1"/>
        <v>East/North (L)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8">
        <v>31110.0</v>
      </c>
      <c r="B188" s="29" t="s">
        <v>220</v>
      </c>
      <c r="C188" s="29" t="s">
        <v>222</v>
      </c>
      <c r="D188" s="7" t="str">
        <f t="shared" si="1"/>
        <v>East/North (L)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8">
        <v>31120.0</v>
      </c>
      <c r="B189" s="29" t="s">
        <v>220</v>
      </c>
      <c r="C189" s="29" t="s">
        <v>223</v>
      </c>
      <c r="D189" s="7" t="str">
        <f t="shared" si="1"/>
        <v>East/North (L)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8">
        <v>31130.0</v>
      </c>
      <c r="B190" s="29" t="s">
        <v>220</v>
      </c>
      <c r="C190" s="29" t="s">
        <v>224</v>
      </c>
      <c r="D190" s="7" t="str">
        <f t="shared" si="1"/>
        <v>East/North (L)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8">
        <v>31140.0</v>
      </c>
      <c r="B191" s="29" t="s">
        <v>220</v>
      </c>
      <c r="C191" s="29" t="s">
        <v>225</v>
      </c>
      <c r="D191" s="7" t="str">
        <f t="shared" si="1"/>
        <v>East/North (L)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8">
        <v>31150.0</v>
      </c>
      <c r="B192" s="29" t="s">
        <v>220</v>
      </c>
      <c r="C192" s="29" t="s">
        <v>226</v>
      </c>
      <c r="D192" s="7" t="str">
        <f t="shared" si="1"/>
        <v>East/North (L)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8">
        <v>31160.0</v>
      </c>
      <c r="B193" s="29" t="s">
        <v>220</v>
      </c>
      <c r="C193" s="29" t="s">
        <v>227</v>
      </c>
      <c r="D193" s="7" t="str">
        <f t="shared" si="1"/>
        <v>East/North (L)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8">
        <v>31170.0</v>
      </c>
      <c r="B194" s="29" t="s">
        <v>220</v>
      </c>
      <c r="C194" s="29" t="s">
        <v>228</v>
      </c>
      <c r="D194" s="7" t="str">
        <f t="shared" si="1"/>
        <v>East/North (L)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8">
        <v>31180.0</v>
      </c>
      <c r="B195" s="29" t="s">
        <v>220</v>
      </c>
      <c r="C195" s="29" t="s">
        <v>229</v>
      </c>
      <c r="D195" s="7" t="str">
        <f t="shared" si="1"/>
        <v>East/North (L)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8">
        <v>31190.0</v>
      </c>
      <c r="B196" s="29" t="s">
        <v>220</v>
      </c>
      <c r="C196" s="29" t="s">
        <v>230</v>
      </c>
      <c r="D196" s="7" t="str">
        <f t="shared" si="1"/>
        <v>East/North (L)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8">
        <v>31210.0</v>
      </c>
      <c r="B197" s="29" t="s">
        <v>220</v>
      </c>
      <c r="C197" s="29" t="s">
        <v>231</v>
      </c>
      <c r="D197" s="7" t="str">
        <f t="shared" si="1"/>
        <v>East/North (L)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8">
        <v>31220.0</v>
      </c>
      <c r="B198" s="29" t="s">
        <v>220</v>
      </c>
      <c r="C198" s="29" t="s">
        <v>232</v>
      </c>
      <c r="D198" s="7" t="str">
        <f t="shared" si="1"/>
        <v>East/North (L)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8">
        <v>31230.0</v>
      </c>
      <c r="B199" s="29" t="s">
        <v>220</v>
      </c>
      <c r="C199" s="29" t="s">
        <v>233</v>
      </c>
      <c r="D199" s="7" t="str">
        <f t="shared" si="1"/>
        <v>East/North (L)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8">
        <v>31240.0</v>
      </c>
      <c r="B200" s="29" t="s">
        <v>220</v>
      </c>
      <c r="C200" s="29" t="s">
        <v>234</v>
      </c>
      <c r="D200" s="7" t="str">
        <f t="shared" si="1"/>
        <v>East/North (L)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8">
        <v>31250.0</v>
      </c>
      <c r="B201" s="29" t="s">
        <v>220</v>
      </c>
      <c r="C201" s="29" t="s">
        <v>235</v>
      </c>
      <c r="D201" s="7" t="str">
        <f t="shared" si="1"/>
        <v>East/North (L)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8">
        <v>31260.0</v>
      </c>
      <c r="B202" s="29" t="s">
        <v>220</v>
      </c>
      <c r="C202" s="29" t="s">
        <v>236</v>
      </c>
      <c r="D202" s="7" t="str">
        <f t="shared" si="1"/>
        <v>East/North (L)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8">
        <v>33000.0</v>
      </c>
      <c r="B203" s="29" t="s">
        <v>237</v>
      </c>
      <c r="C203" s="29" t="s">
        <v>238</v>
      </c>
      <c r="D203" s="7" t="str">
        <f t="shared" si="1"/>
        <v>East/North (L)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8">
        <v>33110.0</v>
      </c>
      <c r="B204" s="29" t="s">
        <v>237</v>
      </c>
      <c r="C204" s="29" t="s">
        <v>239</v>
      </c>
      <c r="D204" s="7" t="str">
        <f t="shared" si="1"/>
        <v>East/North (L)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8">
        <v>33120.0</v>
      </c>
      <c r="B205" s="29" t="s">
        <v>237</v>
      </c>
      <c r="C205" s="29" t="s">
        <v>240</v>
      </c>
      <c r="D205" s="7" t="str">
        <f t="shared" si="1"/>
        <v>East/North (L)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8">
        <v>33130.0</v>
      </c>
      <c r="B206" s="29" t="s">
        <v>237</v>
      </c>
      <c r="C206" s="29" t="s">
        <v>241</v>
      </c>
      <c r="D206" s="7" t="str">
        <f t="shared" si="1"/>
        <v>East/North (L)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8">
        <v>33140.0</v>
      </c>
      <c r="B207" s="29" t="s">
        <v>237</v>
      </c>
      <c r="C207" s="29" t="s">
        <v>242</v>
      </c>
      <c r="D207" s="7" t="str">
        <f t="shared" si="1"/>
        <v>East/North (L)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8">
        <v>33150.0</v>
      </c>
      <c r="B208" s="29" t="s">
        <v>237</v>
      </c>
      <c r="C208" s="29" t="s">
        <v>243</v>
      </c>
      <c r="D208" s="7" t="str">
        <f t="shared" si="1"/>
        <v>East/North (L)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8">
        <v>33160.0</v>
      </c>
      <c r="B209" s="29" t="s">
        <v>237</v>
      </c>
      <c r="C209" s="29" t="s">
        <v>244</v>
      </c>
      <c r="D209" s="7" t="str">
        <f t="shared" si="1"/>
        <v>East/North (L)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8">
        <v>33170.0</v>
      </c>
      <c r="B210" s="29" t="s">
        <v>237</v>
      </c>
      <c r="C210" s="29" t="s">
        <v>245</v>
      </c>
      <c r="D210" s="7" t="str">
        <f t="shared" si="1"/>
        <v>East/North (L)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8">
        <v>33180.0</v>
      </c>
      <c r="B211" s="29" t="s">
        <v>237</v>
      </c>
      <c r="C211" s="29" t="s">
        <v>246</v>
      </c>
      <c r="D211" s="7" t="str">
        <f t="shared" si="1"/>
        <v>East/North (L)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8">
        <v>33190.0</v>
      </c>
      <c r="B212" s="29" t="s">
        <v>237</v>
      </c>
      <c r="C212" s="29" t="s">
        <v>247</v>
      </c>
      <c r="D212" s="7" t="str">
        <f t="shared" si="1"/>
        <v>East/North (L)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8">
        <v>33210.0</v>
      </c>
      <c r="B213" s="29" t="s">
        <v>237</v>
      </c>
      <c r="C213" s="29" t="s">
        <v>248</v>
      </c>
      <c r="D213" s="7" t="str">
        <f t="shared" si="1"/>
        <v>East/North (L)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8">
        <v>33220.0</v>
      </c>
      <c r="B214" s="29" t="s">
        <v>237</v>
      </c>
      <c r="C214" s="29" t="s">
        <v>249</v>
      </c>
      <c r="D214" s="7" t="str">
        <f t="shared" si="1"/>
        <v>East/North (L)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8">
        <v>33230.0</v>
      </c>
      <c r="B215" s="29" t="s">
        <v>237</v>
      </c>
      <c r="C215" s="29" t="s">
        <v>250</v>
      </c>
      <c r="D215" s="7" t="str">
        <f t="shared" si="1"/>
        <v>East/North (L)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8">
        <v>33240.0</v>
      </c>
      <c r="B216" s="29" t="s">
        <v>237</v>
      </c>
      <c r="C216" s="29" t="s">
        <v>251</v>
      </c>
      <c r="D216" s="7" t="str">
        <f t="shared" si="1"/>
        <v>East/North (L)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8">
        <v>33250.0</v>
      </c>
      <c r="B217" s="29" t="s">
        <v>237</v>
      </c>
      <c r="C217" s="29" t="s">
        <v>252</v>
      </c>
      <c r="D217" s="7" t="str">
        <f t="shared" si="1"/>
        <v>East/North (L)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8">
        <v>33270.0</v>
      </c>
      <c r="B218" s="29" t="s">
        <v>237</v>
      </c>
      <c r="C218" s="29" t="s">
        <v>253</v>
      </c>
      <c r="D218" s="7" t="str">
        <f t="shared" si="1"/>
        <v>East/North (L)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8">
        <v>34000.0</v>
      </c>
      <c r="B219" s="29" t="s">
        <v>254</v>
      </c>
      <c r="C219" s="29" t="s">
        <v>255</v>
      </c>
      <c r="D219" s="7" t="str">
        <f t="shared" si="1"/>
        <v>East/North (L)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8">
        <v>34110.0</v>
      </c>
      <c r="B220" s="29" t="s">
        <v>256</v>
      </c>
      <c r="C220" s="29" t="s">
        <v>257</v>
      </c>
      <c r="D220" s="7" t="str">
        <f t="shared" si="1"/>
        <v>East/North (L)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8">
        <v>34130.0</v>
      </c>
      <c r="B221" s="29" t="s">
        <v>256</v>
      </c>
      <c r="C221" s="29" t="s">
        <v>258</v>
      </c>
      <c r="D221" s="7" t="str">
        <f t="shared" si="1"/>
        <v>East/North (L)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8">
        <v>34140.0</v>
      </c>
      <c r="B222" s="29" t="s">
        <v>254</v>
      </c>
      <c r="C222" s="29" t="s">
        <v>259</v>
      </c>
      <c r="D222" s="7" t="str">
        <f t="shared" si="1"/>
        <v>East/North (L)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8">
        <v>34150.0</v>
      </c>
      <c r="B223" s="29" t="s">
        <v>254</v>
      </c>
      <c r="C223" s="29" t="s">
        <v>260</v>
      </c>
      <c r="D223" s="7" t="str">
        <f t="shared" si="1"/>
        <v>East/North (L)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8">
        <v>34160.0</v>
      </c>
      <c r="B224" s="29" t="s">
        <v>254</v>
      </c>
      <c r="C224" s="29" t="s">
        <v>261</v>
      </c>
      <c r="D224" s="7" t="str">
        <f t="shared" si="1"/>
        <v>East/North (L)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8">
        <v>34170.0</v>
      </c>
      <c r="B225" s="29" t="s">
        <v>254</v>
      </c>
      <c r="C225" s="29" t="s">
        <v>262</v>
      </c>
      <c r="D225" s="7" t="str">
        <f t="shared" si="1"/>
        <v>East/North (L)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8">
        <v>34190.0</v>
      </c>
      <c r="B226" s="29" t="s">
        <v>256</v>
      </c>
      <c r="C226" s="29" t="s">
        <v>263</v>
      </c>
      <c r="D226" s="7" t="str">
        <f t="shared" si="1"/>
        <v>East/North (L)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8">
        <v>34220.0</v>
      </c>
      <c r="B227" s="29" t="s">
        <v>254</v>
      </c>
      <c r="C227" s="29" t="s">
        <v>264</v>
      </c>
      <c r="D227" s="7" t="str">
        <f t="shared" si="1"/>
        <v>East/North (L)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8">
        <v>34230.0</v>
      </c>
      <c r="B228" s="29" t="s">
        <v>254</v>
      </c>
      <c r="C228" s="29" t="s">
        <v>265</v>
      </c>
      <c r="D228" s="7" t="str">
        <f t="shared" si="1"/>
        <v>East/North (L)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8">
        <v>34250.0</v>
      </c>
      <c r="B229" s="29" t="s">
        <v>256</v>
      </c>
      <c r="C229" s="29" t="s">
        <v>266</v>
      </c>
      <c r="D229" s="7" t="str">
        <f t="shared" si="1"/>
        <v>East/North (L)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8">
        <v>34260.0</v>
      </c>
      <c r="B230" s="29" t="s">
        <v>256</v>
      </c>
      <c r="C230" s="29" t="s">
        <v>267</v>
      </c>
      <c r="D230" s="7" t="str">
        <f t="shared" si="1"/>
        <v>East/North (L)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8">
        <v>34270.0</v>
      </c>
      <c r="B231" s="29" t="s">
        <v>254</v>
      </c>
      <c r="C231" s="29" t="s">
        <v>268</v>
      </c>
      <c r="D231" s="7" t="str">
        <f t="shared" si="1"/>
        <v>East/North (L)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8">
        <v>34280.0</v>
      </c>
      <c r="B232" s="29" t="s">
        <v>254</v>
      </c>
      <c r="C232" s="29" t="s">
        <v>269</v>
      </c>
      <c r="D232" s="7" t="str">
        <f t="shared" si="1"/>
        <v>East/North (L)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8">
        <v>34330.0</v>
      </c>
      <c r="B233" s="29" t="s">
        <v>256</v>
      </c>
      <c r="C233" s="29" t="s">
        <v>270</v>
      </c>
      <c r="D233" s="7" t="str">
        <f t="shared" si="1"/>
        <v>East/North (L)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8">
        <v>34340.0</v>
      </c>
      <c r="B234" s="29" t="s">
        <v>256</v>
      </c>
      <c r="C234" s="29" t="s">
        <v>271</v>
      </c>
      <c r="D234" s="7" t="str">
        <f t="shared" si="1"/>
        <v>East/North (L)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8">
        <v>34350.0</v>
      </c>
      <c r="B235" s="29" t="s">
        <v>256</v>
      </c>
      <c r="C235" s="29" t="s">
        <v>272</v>
      </c>
      <c r="D235" s="7" t="str">
        <f t="shared" si="1"/>
        <v>East/North (L)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8">
        <v>34360.0</v>
      </c>
      <c r="B236" s="29" t="s">
        <v>256</v>
      </c>
      <c r="C236" s="29" t="s">
        <v>273</v>
      </c>
      <c r="D236" s="7" t="str">
        <f t="shared" si="1"/>
        <v>East/North (L)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8">
        <v>35000.0</v>
      </c>
      <c r="B237" s="29" t="s">
        <v>274</v>
      </c>
      <c r="C237" s="29" t="s">
        <v>275</v>
      </c>
      <c r="D237" s="7" t="str">
        <f t="shared" si="1"/>
        <v>East/North (L)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8">
        <v>35110.0</v>
      </c>
      <c r="B238" s="29" t="s">
        <v>274</v>
      </c>
      <c r="C238" s="29" t="s">
        <v>276</v>
      </c>
      <c r="D238" s="7" t="str">
        <f t="shared" si="1"/>
        <v>East/North (L)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8">
        <v>35120.0</v>
      </c>
      <c r="B239" s="29" t="s">
        <v>274</v>
      </c>
      <c r="C239" s="29" t="s">
        <v>277</v>
      </c>
      <c r="D239" s="7" t="str">
        <f t="shared" si="1"/>
        <v>East/North (L)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8">
        <v>35130.0</v>
      </c>
      <c r="B240" s="29" t="s">
        <v>274</v>
      </c>
      <c r="C240" s="29" t="s">
        <v>278</v>
      </c>
      <c r="D240" s="7" t="str">
        <f t="shared" si="1"/>
        <v>East/North (L)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8">
        <v>35140.0</v>
      </c>
      <c r="B241" s="29" t="s">
        <v>274</v>
      </c>
      <c r="C241" s="29" t="s">
        <v>279</v>
      </c>
      <c r="D241" s="7" t="str">
        <f t="shared" si="1"/>
        <v>East/North (L)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8">
        <v>35150.0</v>
      </c>
      <c r="B242" s="29" t="s">
        <v>274</v>
      </c>
      <c r="C242" s="29" t="s">
        <v>280</v>
      </c>
      <c r="D242" s="7" t="str">
        <f t="shared" si="1"/>
        <v>East/North (L)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8">
        <v>35160.0</v>
      </c>
      <c r="B243" s="29" t="s">
        <v>274</v>
      </c>
      <c r="C243" s="29" t="s">
        <v>281</v>
      </c>
      <c r="D243" s="7" t="str">
        <f t="shared" si="1"/>
        <v>East/North (L)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8">
        <v>35170.0</v>
      </c>
      <c r="B244" s="29" t="s">
        <v>274</v>
      </c>
      <c r="C244" s="29" t="s">
        <v>282</v>
      </c>
      <c r="D244" s="7" t="str">
        <f t="shared" si="1"/>
        <v>East/North (L)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8">
        <v>36000.0</v>
      </c>
      <c r="B245" s="29" t="s">
        <v>283</v>
      </c>
      <c r="C245" s="29" t="s">
        <v>284</v>
      </c>
      <c r="D245" s="7" t="str">
        <f t="shared" si="1"/>
        <v>East/North (L)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8">
        <v>36110.0</v>
      </c>
      <c r="B246" s="29" t="s">
        <v>283</v>
      </c>
      <c r="C246" s="29" t="s">
        <v>285</v>
      </c>
      <c r="D246" s="7" t="str">
        <f t="shared" si="1"/>
        <v>East/North (L)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8">
        <v>36120.0</v>
      </c>
      <c r="B247" s="29" t="s">
        <v>283</v>
      </c>
      <c r="C247" s="29" t="s">
        <v>286</v>
      </c>
      <c r="D247" s="7" t="str">
        <f t="shared" si="1"/>
        <v>East/North (L)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8">
        <v>36130.0</v>
      </c>
      <c r="B248" s="29" t="s">
        <v>283</v>
      </c>
      <c r="C248" s="29" t="s">
        <v>287</v>
      </c>
      <c r="D248" s="7" t="str">
        <f t="shared" si="1"/>
        <v>East/North (L)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8">
        <v>36140.0</v>
      </c>
      <c r="B249" s="29" t="s">
        <v>283</v>
      </c>
      <c r="C249" s="29" t="s">
        <v>288</v>
      </c>
      <c r="D249" s="7" t="str">
        <f t="shared" si="1"/>
        <v>East/North (L)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8">
        <v>36150.0</v>
      </c>
      <c r="B250" s="29" t="s">
        <v>283</v>
      </c>
      <c r="C250" s="29" t="s">
        <v>289</v>
      </c>
      <c r="D250" s="7" t="str">
        <f t="shared" si="1"/>
        <v>East/North (L)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8">
        <v>36160.0</v>
      </c>
      <c r="B251" s="29" t="s">
        <v>283</v>
      </c>
      <c r="C251" s="29" t="s">
        <v>290</v>
      </c>
      <c r="D251" s="7" t="str">
        <f t="shared" si="1"/>
        <v>East/North (L)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8">
        <v>36170.0</v>
      </c>
      <c r="B252" s="29" t="s">
        <v>283</v>
      </c>
      <c r="C252" s="29" t="s">
        <v>291</v>
      </c>
      <c r="D252" s="7" t="str">
        <f t="shared" si="1"/>
        <v>East/North (L)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8">
        <v>36180.0</v>
      </c>
      <c r="B253" s="29" t="s">
        <v>283</v>
      </c>
      <c r="C253" s="29" t="s">
        <v>292</v>
      </c>
      <c r="D253" s="7" t="str">
        <f t="shared" si="1"/>
        <v>East/North (L)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8">
        <v>36190.0</v>
      </c>
      <c r="B254" s="29" t="s">
        <v>283</v>
      </c>
      <c r="C254" s="29" t="s">
        <v>293</v>
      </c>
      <c r="D254" s="7" t="str">
        <f t="shared" si="1"/>
        <v>East/North (L)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8">
        <v>36210.0</v>
      </c>
      <c r="B255" s="29" t="s">
        <v>283</v>
      </c>
      <c r="C255" s="29" t="s">
        <v>294</v>
      </c>
      <c r="D255" s="7" t="str">
        <f t="shared" si="1"/>
        <v>East/North (L)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8">
        <v>36230.0</v>
      </c>
      <c r="B256" s="29" t="s">
        <v>283</v>
      </c>
      <c r="C256" s="29" t="s">
        <v>295</v>
      </c>
      <c r="D256" s="7" t="str">
        <f t="shared" si="1"/>
        <v>East/North (L)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8">
        <v>36250.0</v>
      </c>
      <c r="B257" s="29" t="s">
        <v>283</v>
      </c>
      <c r="C257" s="29" t="s">
        <v>296</v>
      </c>
      <c r="D257" s="7" t="str">
        <f t="shared" si="1"/>
        <v>East/North (L)</v>
      </c>
      <c r="E257" s="2"/>
      <c r="F257" s="30"/>
      <c r="G257" s="2"/>
      <c r="H257" s="2"/>
      <c r="I257" s="2"/>
      <c r="J257" s="2"/>
      <c r="K257" s="2"/>
      <c r="L257" s="2"/>
      <c r="M257" s="2"/>
      <c r="N257" s="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8">
        <v>36260.0</v>
      </c>
      <c r="B258" s="29" t="s">
        <v>283</v>
      </c>
      <c r="C258" s="29" t="s">
        <v>297</v>
      </c>
      <c r="D258" s="7" t="str">
        <f t="shared" si="1"/>
        <v>East/North (L)</v>
      </c>
      <c r="E258" s="2"/>
      <c r="F258" s="30"/>
      <c r="G258" s="2"/>
      <c r="H258" s="2"/>
      <c r="I258" s="2"/>
      <c r="J258" s="2"/>
      <c r="K258" s="2"/>
      <c r="L258" s="2"/>
      <c r="M258" s="2"/>
      <c r="N258" s="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8">
        <v>37000.0</v>
      </c>
      <c r="B259" s="29" t="s">
        <v>298</v>
      </c>
      <c r="C259" s="29" t="s">
        <v>299</v>
      </c>
      <c r="D259" s="7" t="str">
        <f t="shared" si="1"/>
        <v>East/North (L)</v>
      </c>
      <c r="E259" s="2"/>
      <c r="F259" s="30"/>
      <c r="G259" s="2"/>
      <c r="H259" s="2"/>
      <c r="I259" s="2"/>
      <c r="J259" s="2"/>
      <c r="K259" s="2"/>
      <c r="L259" s="2"/>
      <c r="M259" s="2"/>
      <c r="N259" s="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8">
        <v>37110.0</v>
      </c>
      <c r="B260" s="29" t="s">
        <v>298</v>
      </c>
      <c r="C260" s="29" t="s">
        <v>300</v>
      </c>
      <c r="D260" s="7" t="str">
        <f t="shared" si="1"/>
        <v>East/North (L)</v>
      </c>
      <c r="E260" s="2"/>
      <c r="F260" s="30"/>
      <c r="G260" s="2"/>
      <c r="H260" s="2"/>
      <c r="I260" s="2"/>
      <c r="J260" s="2"/>
      <c r="K260" s="2"/>
      <c r="L260" s="2"/>
      <c r="M260" s="2"/>
      <c r="N260" s="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8">
        <v>37180.0</v>
      </c>
      <c r="B261" s="29" t="s">
        <v>298</v>
      </c>
      <c r="C261" s="29" t="s">
        <v>301</v>
      </c>
      <c r="D261" s="7" t="str">
        <f t="shared" si="1"/>
        <v>East/North (L)</v>
      </c>
      <c r="E261" s="2"/>
      <c r="F261" s="30"/>
      <c r="G261" s="2"/>
      <c r="H261" s="2"/>
      <c r="I261" s="2"/>
      <c r="J261" s="2"/>
      <c r="K261" s="2"/>
      <c r="L261" s="2"/>
      <c r="M261" s="2"/>
      <c r="N261" s="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8">
        <v>37210.0</v>
      </c>
      <c r="B262" s="29" t="s">
        <v>298</v>
      </c>
      <c r="C262" s="29" t="s">
        <v>302</v>
      </c>
      <c r="D262" s="7" t="str">
        <f t="shared" si="1"/>
        <v>East/North (L)</v>
      </c>
      <c r="E262" s="2"/>
      <c r="F262" s="30"/>
      <c r="G262" s="2"/>
      <c r="H262" s="2"/>
      <c r="I262" s="2"/>
      <c r="J262" s="2"/>
      <c r="K262" s="2"/>
      <c r="L262" s="2"/>
      <c r="M262" s="2"/>
      <c r="N262" s="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8">
        <v>37240.0</v>
      </c>
      <c r="B263" s="29" t="s">
        <v>298</v>
      </c>
      <c r="C263" s="29" t="s">
        <v>303</v>
      </c>
      <c r="D263" s="7" t="str">
        <f t="shared" si="1"/>
        <v>East/North (L)</v>
      </c>
      <c r="E263" s="2"/>
      <c r="F263" s="30"/>
      <c r="G263" s="2"/>
      <c r="H263" s="2"/>
      <c r="I263" s="2"/>
      <c r="J263" s="2"/>
      <c r="K263" s="2"/>
      <c r="L263" s="2"/>
      <c r="M263" s="2"/>
      <c r="N263" s="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8">
        <v>37290.0</v>
      </c>
      <c r="B264" s="29" t="s">
        <v>298</v>
      </c>
      <c r="C264" s="29" t="s">
        <v>304</v>
      </c>
      <c r="D264" s="7" t="str">
        <f t="shared" si="1"/>
        <v>East/North (L)</v>
      </c>
      <c r="E264" s="2"/>
      <c r="F264" s="30"/>
      <c r="G264" s="2"/>
      <c r="H264" s="2"/>
      <c r="I264" s="2"/>
      <c r="J264" s="2"/>
      <c r="K264" s="2"/>
      <c r="L264" s="2"/>
      <c r="M264" s="2"/>
      <c r="N264" s="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8">
        <v>38150.0</v>
      </c>
      <c r="B265" s="29" t="s">
        <v>305</v>
      </c>
      <c r="C265" s="29" t="s">
        <v>306</v>
      </c>
      <c r="D265" s="7" t="str">
        <f t="shared" si="1"/>
        <v>East/North (L)</v>
      </c>
      <c r="F265" s="2"/>
      <c r="G265" s="2"/>
      <c r="H265" s="2"/>
      <c r="I265" s="2"/>
      <c r="J265" s="2"/>
      <c r="K265" s="2"/>
      <c r="L265" s="2"/>
      <c r="M265" s="2"/>
      <c r="N265" s="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8">
        <v>38170.0</v>
      </c>
      <c r="B266" s="29" t="s">
        <v>305</v>
      </c>
      <c r="C266" s="29" t="s">
        <v>307</v>
      </c>
      <c r="D266" s="7" t="str">
        <f t="shared" si="1"/>
        <v>East/North (L)</v>
      </c>
      <c r="F266" s="2"/>
      <c r="G266" s="2"/>
      <c r="H266" s="2"/>
      <c r="I266" s="2"/>
      <c r="J266" s="2"/>
      <c r="K266" s="2"/>
      <c r="L266" s="2"/>
      <c r="M266" s="2"/>
      <c r="N266" s="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8">
        <v>38000.0</v>
      </c>
      <c r="B267" s="29" t="s">
        <v>305</v>
      </c>
      <c r="C267" s="31" t="s">
        <v>308</v>
      </c>
      <c r="D267" s="7" t="str">
        <f t="shared" si="1"/>
        <v>East/North (L)</v>
      </c>
      <c r="F267" s="2"/>
      <c r="G267" s="2"/>
      <c r="H267" s="2"/>
      <c r="I267" s="2"/>
      <c r="J267" s="2"/>
      <c r="K267" s="2"/>
      <c r="L267" s="2"/>
      <c r="M267" s="2"/>
      <c r="N267" s="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8">
        <v>38220.0</v>
      </c>
      <c r="B268" s="29" t="s">
        <v>305</v>
      </c>
      <c r="C268" s="31" t="s">
        <v>309</v>
      </c>
      <c r="D268" s="7" t="str">
        <f t="shared" si="1"/>
        <v>East/North (L)</v>
      </c>
      <c r="F268" s="2"/>
      <c r="G268" s="2"/>
      <c r="H268" s="2"/>
      <c r="I268" s="2"/>
      <c r="J268" s="2"/>
      <c r="K268" s="2"/>
      <c r="L268" s="2"/>
      <c r="M268" s="2"/>
      <c r="N268" s="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8">
        <v>38000.0</v>
      </c>
      <c r="B269" s="29" t="s">
        <v>305</v>
      </c>
      <c r="C269" s="31" t="s">
        <v>310</v>
      </c>
      <c r="D269" s="7" t="str">
        <f t="shared" si="1"/>
        <v>East/North (L)</v>
      </c>
      <c r="F269" s="2"/>
      <c r="G269" s="2"/>
      <c r="H269" s="2"/>
      <c r="I269" s="2"/>
      <c r="J269" s="2"/>
      <c r="K269" s="2"/>
      <c r="L269" s="2"/>
      <c r="M269" s="2"/>
      <c r="N269" s="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8">
        <v>38190.0</v>
      </c>
      <c r="B270" s="29" t="s">
        <v>305</v>
      </c>
      <c r="C270" s="31" t="s">
        <v>311</v>
      </c>
      <c r="D270" s="7" t="str">
        <f t="shared" si="1"/>
        <v>East/North (L)</v>
      </c>
      <c r="F270" s="2"/>
      <c r="G270" s="2"/>
      <c r="H270" s="2"/>
      <c r="I270" s="2"/>
      <c r="J270" s="2"/>
      <c r="K270" s="2"/>
      <c r="L270" s="2"/>
      <c r="M270" s="2"/>
      <c r="N270" s="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8">
        <v>38180.0</v>
      </c>
      <c r="B271" s="29" t="s">
        <v>305</v>
      </c>
      <c r="C271" s="31" t="s">
        <v>312</v>
      </c>
      <c r="D271" s="7" t="str">
        <f t="shared" si="1"/>
        <v>East/North (L)</v>
      </c>
      <c r="F271" s="2"/>
      <c r="G271" s="2"/>
      <c r="H271" s="2"/>
      <c r="I271" s="2"/>
      <c r="J271" s="2"/>
      <c r="K271" s="2"/>
      <c r="L271" s="2"/>
      <c r="M271" s="2"/>
      <c r="N271" s="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8">
        <v>38120.0</v>
      </c>
      <c r="B272" s="29" t="s">
        <v>305</v>
      </c>
      <c r="C272" s="31" t="s">
        <v>313</v>
      </c>
      <c r="D272" s="7" t="str">
        <f t="shared" si="1"/>
        <v>East/North (L)</v>
      </c>
      <c r="F272" s="2"/>
      <c r="G272" s="2"/>
      <c r="H272" s="2"/>
      <c r="I272" s="2"/>
      <c r="J272" s="2"/>
      <c r="K272" s="2"/>
      <c r="L272" s="2"/>
      <c r="M272" s="2"/>
      <c r="N272" s="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8">
        <v>39000.0</v>
      </c>
      <c r="B273" s="29" t="s">
        <v>314</v>
      </c>
      <c r="C273" s="29" t="s">
        <v>315</v>
      </c>
      <c r="D273" s="7" t="str">
        <f t="shared" si="1"/>
        <v>East/North (L)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8">
        <v>39140.0</v>
      </c>
      <c r="B274" s="29" t="s">
        <v>314</v>
      </c>
      <c r="C274" s="29" t="s">
        <v>316</v>
      </c>
      <c r="D274" s="7" t="str">
        <f t="shared" si="1"/>
        <v>East/North (L)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8">
        <v>39170.0</v>
      </c>
      <c r="B275" s="29" t="s">
        <v>314</v>
      </c>
      <c r="C275" s="29" t="s">
        <v>317</v>
      </c>
      <c r="D275" s="7" t="str">
        <f t="shared" si="1"/>
        <v>East/North (L)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8">
        <v>39180.0</v>
      </c>
      <c r="B276" s="29" t="s">
        <v>314</v>
      </c>
      <c r="C276" s="29" t="s">
        <v>318</v>
      </c>
      <c r="D276" s="7" t="str">
        <f t="shared" si="1"/>
        <v>East/North (L)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8">
        <v>39270.0</v>
      </c>
      <c r="B277" s="29" t="s">
        <v>314</v>
      </c>
      <c r="C277" s="29" t="s">
        <v>319</v>
      </c>
      <c r="D277" s="7" t="str">
        <f t="shared" si="1"/>
        <v>East/North (L)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8">
        <v>40000.0</v>
      </c>
      <c r="B278" s="29" t="s">
        <v>320</v>
      </c>
      <c r="C278" s="29" t="s">
        <v>321</v>
      </c>
      <c r="D278" s="7" t="str">
        <f t="shared" si="1"/>
        <v>East/North (T)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8">
        <v>40110.0</v>
      </c>
      <c r="B279" s="29" t="s">
        <v>320</v>
      </c>
      <c r="C279" s="29" t="s">
        <v>322</v>
      </c>
      <c r="D279" s="7" t="str">
        <f t="shared" si="1"/>
        <v>East/North (T)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8">
        <v>40120.0</v>
      </c>
      <c r="B280" s="29" t="s">
        <v>320</v>
      </c>
      <c r="C280" s="29" t="s">
        <v>323</v>
      </c>
      <c r="D280" s="7" t="str">
        <f t="shared" si="1"/>
        <v>East/North (T)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8">
        <v>40130.0</v>
      </c>
      <c r="B281" s="29" t="s">
        <v>320</v>
      </c>
      <c r="C281" s="29" t="s">
        <v>324</v>
      </c>
      <c r="D281" s="7" t="str">
        <f t="shared" si="1"/>
        <v>East/North (T)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8">
        <v>40140.0</v>
      </c>
      <c r="B282" s="29" t="s">
        <v>320</v>
      </c>
      <c r="C282" s="29" t="s">
        <v>325</v>
      </c>
      <c r="D282" s="7" t="str">
        <f t="shared" si="1"/>
        <v>East/North (T)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8">
        <v>40150.0</v>
      </c>
      <c r="B283" s="29" t="s">
        <v>320</v>
      </c>
      <c r="C283" s="29" t="s">
        <v>326</v>
      </c>
      <c r="D283" s="7" t="str">
        <f t="shared" si="1"/>
        <v>East/North (T)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8">
        <v>40160.0</v>
      </c>
      <c r="B284" s="29" t="s">
        <v>320</v>
      </c>
      <c r="C284" s="29" t="s">
        <v>327</v>
      </c>
      <c r="D284" s="7" t="str">
        <f t="shared" si="1"/>
        <v>East/North (T)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8">
        <v>40170.0</v>
      </c>
      <c r="B285" s="29" t="s">
        <v>320</v>
      </c>
      <c r="C285" s="29" t="s">
        <v>328</v>
      </c>
      <c r="D285" s="7" t="str">
        <f t="shared" si="1"/>
        <v>East/North (T)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8">
        <v>40180.0</v>
      </c>
      <c r="B286" s="29" t="s">
        <v>320</v>
      </c>
      <c r="C286" s="29" t="s">
        <v>329</v>
      </c>
      <c r="D286" s="7" t="str">
        <f t="shared" si="1"/>
        <v>East/North (T)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8">
        <v>40190.0</v>
      </c>
      <c r="B287" s="29" t="s">
        <v>320</v>
      </c>
      <c r="C287" s="29" t="s">
        <v>330</v>
      </c>
      <c r="D287" s="7" t="str">
        <f t="shared" si="1"/>
        <v>East/North (T)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8">
        <v>40210.0</v>
      </c>
      <c r="B288" s="29" t="s">
        <v>320</v>
      </c>
      <c r="C288" s="29" t="s">
        <v>331</v>
      </c>
      <c r="D288" s="7" t="str">
        <f t="shared" si="1"/>
        <v>East/North (T)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8">
        <v>40220.0</v>
      </c>
      <c r="B289" s="29" t="s">
        <v>320</v>
      </c>
      <c r="C289" s="29" t="s">
        <v>332</v>
      </c>
      <c r="D289" s="7" t="str">
        <f t="shared" si="1"/>
        <v>East/North (T)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8">
        <v>40230.0</v>
      </c>
      <c r="B290" s="29" t="s">
        <v>320</v>
      </c>
      <c r="C290" s="29" t="s">
        <v>333</v>
      </c>
      <c r="D290" s="7" t="str">
        <f t="shared" si="1"/>
        <v>East/North (T)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8">
        <v>40250.0</v>
      </c>
      <c r="B291" s="29" t="s">
        <v>320</v>
      </c>
      <c r="C291" s="29" t="s">
        <v>334</v>
      </c>
      <c r="D291" s="7" t="str">
        <f t="shared" si="1"/>
        <v>East/North (T)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8">
        <v>40270.0</v>
      </c>
      <c r="B292" s="29" t="s">
        <v>320</v>
      </c>
      <c r="C292" s="29" t="s">
        <v>335</v>
      </c>
      <c r="D292" s="7" t="str">
        <f t="shared" si="1"/>
        <v>East/North (T)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8">
        <v>40280.0</v>
      </c>
      <c r="B293" s="29" t="s">
        <v>320</v>
      </c>
      <c r="C293" s="29" t="s">
        <v>336</v>
      </c>
      <c r="D293" s="7" t="str">
        <f t="shared" si="1"/>
        <v>East/North (T)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8">
        <v>40320.0</v>
      </c>
      <c r="B294" s="29" t="s">
        <v>320</v>
      </c>
      <c r="C294" s="29" t="s">
        <v>337</v>
      </c>
      <c r="D294" s="7" t="str">
        <f t="shared" si="1"/>
        <v>East/North (T)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8">
        <v>40330.0</v>
      </c>
      <c r="B295" s="29" t="s">
        <v>320</v>
      </c>
      <c r="C295" s="29" t="s">
        <v>338</v>
      </c>
      <c r="D295" s="7" t="str">
        <f t="shared" si="1"/>
        <v>East/North (T)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8">
        <v>40340.0</v>
      </c>
      <c r="B296" s="29" t="s">
        <v>320</v>
      </c>
      <c r="C296" s="29" t="s">
        <v>339</v>
      </c>
      <c r="D296" s="7" t="str">
        <f t="shared" si="1"/>
        <v>East/North (T)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8">
        <v>40350.0</v>
      </c>
      <c r="B297" s="29" t="s">
        <v>320</v>
      </c>
      <c r="C297" s="29" t="s">
        <v>340</v>
      </c>
      <c r="D297" s="7" t="str">
        <f t="shared" si="1"/>
        <v>East/North (T)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8">
        <v>41000.0</v>
      </c>
      <c r="B298" s="29" t="s">
        <v>341</v>
      </c>
      <c r="C298" s="29" t="s">
        <v>342</v>
      </c>
      <c r="D298" s="7" t="str">
        <f t="shared" si="1"/>
        <v>East/North (T)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8">
        <v>41110.0</v>
      </c>
      <c r="B299" s="29" t="s">
        <v>341</v>
      </c>
      <c r="C299" s="29" t="s">
        <v>343</v>
      </c>
      <c r="D299" s="7" t="str">
        <f t="shared" si="1"/>
        <v>East/North (T)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8">
        <v>41130.0</v>
      </c>
      <c r="B300" s="29" t="s">
        <v>341</v>
      </c>
      <c r="C300" s="29" t="s">
        <v>344</v>
      </c>
      <c r="D300" s="7" t="str">
        <f t="shared" si="1"/>
        <v>East/North (T)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8">
        <v>41150.0</v>
      </c>
      <c r="B301" s="29" t="s">
        <v>341</v>
      </c>
      <c r="C301" s="29" t="s">
        <v>345</v>
      </c>
      <c r="D301" s="7" t="str">
        <f t="shared" si="1"/>
        <v>East/North (T)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8">
        <v>41190.0</v>
      </c>
      <c r="B302" s="29" t="s">
        <v>341</v>
      </c>
      <c r="C302" s="29" t="s">
        <v>346</v>
      </c>
      <c r="D302" s="7" t="str">
        <f t="shared" si="1"/>
        <v>East/North (T)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8">
        <v>41210.0</v>
      </c>
      <c r="B303" s="29" t="s">
        <v>341</v>
      </c>
      <c r="C303" s="29" t="s">
        <v>347</v>
      </c>
      <c r="D303" s="7" t="str">
        <f t="shared" si="1"/>
        <v>East/North (T)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8">
        <v>41220.0</v>
      </c>
      <c r="B304" s="29" t="s">
        <v>341</v>
      </c>
      <c r="C304" s="29" t="s">
        <v>348</v>
      </c>
      <c r="D304" s="7" t="str">
        <f t="shared" si="1"/>
        <v>East/North (T)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8">
        <v>41230.0</v>
      </c>
      <c r="B305" s="29" t="s">
        <v>341</v>
      </c>
      <c r="C305" s="29" t="s">
        <v>349</v>
      </c>
      <c r="D305" s="7" t="str">
        <f t="shared" si="1"/>
        <v>East/North (T)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8">
        <v>41240.0</v>
      </c>
      <c r="B306" s="29" t="s">
        <v>341</v>
      </c>
      <c r="C306" s="29" t="s">
        <v>350</v>
      </c>
      <c r="D306" s="7" t="str">
        <f t="shared" si="1"/>
        <v>East/North (T)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8">
        <v>41250.0</v>
      </c>
      <c r="B307" s="29" t="s">
        <v>341</v>
      </c>
      <c r="C307" s="29" t="s">
        <v>351</v>
      </c>
      <c r="D307" s="7" t="str">
        <f t="shared" si="1"/>
        <v>East/North (T)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8">
        <v>41260.0</v>
      </c>
      <c r="B308" s="29" t="s">
        <v>341</v>
      </c>
      <c r="C308" s="29" t="s">
        <v>352</v>
      </c>
      <c r="D308" s="7" t="str">
        <f t="shared" si="1"/>
        <v>East/North (T)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8">
        <v>41290.0</v>
      </c>
      <c r="B309" s="29" t="s">
        <v>341</v>
      </c>
      <c r="C309" s="29" t="s">
        <v>353</v>
      </c>
      <c r="D309" s="7" t="str">
        <f t="shared" si="1"/>
        <v>East/North (T)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8">
        <v>41310.0</v>
      </c>
      <c r="B310" s="29" t="s">
        <v>341</v>
      </c>
      <c r="C310" s="29" t="s">
        <v>354</v>
      </c>
      <c r="D310" s="7" t="str">
        <f t="shared" si="1"/>
        <v>East/North (T)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8">
        <v>41340.0</v>
      </c>
      <c r="B311" s="29" t="s">
        <v>341</v>
      </c>
      <c r="C311" s="29" t="s">
        <v>123</v>
      </c>
      <c r="D311" s="7" t="str">
        <f t="shared" si="1"/>
        <v>East/North (T)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8">
        <v>41380.0</v>
      </c>
      <c r="B312" s="29" t="s">
        <v>341</v>
      </c>
      <c r="C312" s="29" t="s">
        <v>355</v>
      </c>
      <c r="D312" s="7" t="str">
        <f t="shared" si="1"/>
        <v>East/North (T)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8">
        <v>42000.0</v>
      </c>
      <c r="B313" s="29" t="s">
        <v>356</v>
      </c>
      <c r="C313" s="29" t="s">
        <v>357</v>
      </c>
      <c r="D313" s="7" t="str">
        <f t="shared" si="1"/>
        <v>East/North (T)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8">
        <v>42110.0</v>
      </c>
      <c r="B314" s="29" t="s">
        <v>356</v>
      </c>
      <c r="C314" s="29" t="s">
        <v>358</v>
      </c>
      <c r="D314" s="7" t="str">
        <f t="shared" si="1"/>
        <v>East/North (T)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8">
        <v>42120.0</v>
      </c>
      <c r="B315" s="29" t="s">
        <v>356</v>
      </c>
      <c r="C315" s="29" t="s">
        <v>359</v>
      </c>
      <c r="D315" s="7" t="str">
        <f t="shared" si="1"/>
        <v>East/North (T)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8">
        <v>42130.0</v>
      </c>
      <c r="B316" s="29" t="s">
        <v>356</v>
      </c>
      <c r="C316" s="29" t="s">
        <v>360</v>
      </c>
      <c r="D316" s="7" t="str">
        <f t="shared" si="1"/>
        <v>East/North (T)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8">
        <v>42140.0</v>
      </c>
      <c r="B317" s="29" t="s">
        <v>356</v>
      </c>
      <c r="C317" s="29" t="s">
        <v>361</v>
      </c>
      <c r="D317" s="7" t="str">
        <f t="shared" si="1"/>
        <v>East/North (T)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8">
        <v>42150.0</v>
      </c>
      <c r="B318" s="29" t="s">
        <v>356</v>
      </c>
      <c r="C318" s="29" t="s">
        <v>362</v>
      </c>
      <c r="D318" s="7" t="str">
        <f t="shared" si="1"/>
        <v>East/North (T)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8">
        <v>42160.0</v>
      </c>
      <c r="B319" s="29" t="s">
        <v>356</v>
      </c>
      <c r="C319" s="29" t="s">
        <v>363</v>
      </c>
      <c r="D319" s="7" t="str">
        <f t="shared" si="1"/>
        <v>East/North (T)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8">
        <v>42170.0</v>
      </c>
      <c r="B320" s="29" t="s">
        <v>356</v>
      </c>
      <c r="C320" s="29" t="s">
        <v>364</v>
      </c>
      <c r="D320" s="7" t="str">
        <f t="shared" si="1"/>
        <v>East/North (T)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8">
        <v>42180.0</v>
      </c>
      <c r="B321" s="29" t="s">
        <v>356</v>
      </c>
      <c r="C321" s="29" t="s">
        <v>365</v>
      </c>
      <c r="D321" s="7" t="str">
        <f t="shared" si="1"/>
        <v>East/North (T)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8">
        <v>42210.0</v>
      </c>
      <c r="B322" s="29" t="s">
        <v>356</v>
      </c>
      <c r="C322" s="29" t="s">
        <v>366</v>
      </c>
      <c r="D322" s="7" t="str">
        <f t="shared" si="1"/>
        <v>East/North (T)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8">
        <v>42230.0</v>
      </c>
      <c r="B323" s="29" t="s">
        <v>356</v>
      </c>
      <c r="C323" s="29" t="s">
        <v>367</v>
      </c>
      <c r="D323" s="7" t="str">
        <f t="shared" si="1"/>
        <v>East/North (T)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8">
        <v>42240.0</v>
      </c>
      <c r="B324" s="29" t="s">
        <v>356</v>
      </c>
      <c r="C324" s="29" t="s">
        <v>368</v>
      </c>
      <c r="D324" s="7" t="str">
        <f t="shared" si="1"/>
        <v>East/North (T)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8">
        <v>43000.0</v>
      </c>
      <c r="B325" s="29" t="s">
        <v>369</v>
      </c>
      <c r="C325" s="29" t="s">
        <v>370</v>
      </c>
      <c r="D325" s="7" t="str">
        <f t="shared" si="1"/>
        <v>East/North (T)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8">
        <v>43100.0</v>
      </c>
      <c r="B326" s="29" t="s">
        <v>369</v>
      </c>
      <c r="C326" s="29" t="s">
        <v>371</v>
      </c>
      <c r="D326" s="7" t="str">
        <f t="shared" si="1"/>
        <v>East/North (T)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8">
        <v>43110.0</v>
      </c>
      <c r="B327" s="29" t="s">
        <v>369</v>
      </c>
      <c r="C327" s="29" t="s">
        <v>372</v>
      </c>
      <c r="D327" s="7" t="str">
        <f t="shared" si="1"/>
        <v>East/North (T)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8">
        <v>43120.0</v>
      </c>
      <c r="B328" s="29" t="s">
        <v>369</v>
      </c>
      <c r="C328" s="29" t="s">
        <v>373</v>
      </c>
      <c r="D328" s="7" t="str">
        <f t="shared" si="1"/>
        <v>East/North (T)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8">
        <v>43130.0</v>
      </c>
      <c r="B329" s="29" t="s">
        <v>369</v>
      </c>
      <c r="C329" s="29" t="s">
        <v>374</v>
      </c>
      <c r="D329" s="7" t="str">
        <f t="shared" si="1"/>
        <v>East/North (T)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8">
        <v>43140.0</v>
      </c>
      <c r="B330" s="29" t="s">
        <v>369</v>
      </c>
      <c r="C330" s="29" t="s">
        <v>375</v>
      </c>
      <c r="D330" s="7" t="str">
        <f t="shared" si="1"/>
        <v>East/North (T)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8">
        <v>43150.0</v>
      </c>
      <c r="B331" s="29" t="s">
        <v>369</v>
      </c>
      <c r="C331" s="29" t="s">
        <v>306</v>
      </c>
      <c r="D331" s="7" t="str">
        <f t="shared" si="1"/>
        <v>East/North (T)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8">
        <v>43160.0</v>
      </c>
      <c r="B332" s="29" t="s">
        <v>369</v>
      </c>
      <c r="C332" s="29" t="s">
        <v>352</v>
      </c>
      <c r="D332" s="7" t="str">
        <f t="shared" si="1"/>
        <v>East/North (T)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8">
        <v>43170.0</v>
      </c>
      <c r="B333" s="29" t="s">
        <v>369</v>
      </c>
      <c r="C333" s="29" t="s">
        <v>307</v>
      </c>
      <c r="D333" s="7" t="str">
        <f t="shared" si="1"/>
        <v>East/North (T)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8">
        <v>43180.0</v>
      </c>
      <c r="B334" s="29" t="s">
        <v>369</v>
      </c>
      <c r="C334" s="29" t="s">
        <v>312</v>
      </c>
      <c r="D334" s="7" t="str">
        <f t="shared" si="1"/>
        <v>East/North (T)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8">
        <v>43190.0</v>
      </c>
      <c r="B335" s="29" t="s">
        <v>369</v>
      </c>
      <c r="C335" s="29" t="s">
        <v>311</v>
      </c>
      <c r="D335" s="7" t="str">
        <f t="shared" si="1"/>
        <v>East/North (T)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8">
        <v>43210.0</v>
      </c>
      <c r="B336" s="29" t="s">
        <v>369</v>
      </c>
      <c r="C336" s="29" t="s">
        <v>313</v>
      </c>
      <c r="D336" s="7" t="str">
        <f t="shared" si="1"/>
        <v>East/North (T)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8">
        <v>43220.0</v>
      </c>
      <c r="B337" s="29" t="s">
        <v>369</v>
      </c>
      <c r="C337" s="29" t="s">
        <v>376</v>
      </c>
      <c r="D337" s="7" t="str">
        <f t="shared" si="1"/>
        <v>East/North (T)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8">
        <v>44000.0</v>
      </c>
      <c r="B338" s="29" t="s">
        <v>377</v>
      </c>
      <c r="C338" s="29" t="s">
        <v>378</v>
      </c>
      <c r="D338" s="7" t="str">
        <f t="shared" si="1"/>
        <v>East/North (T)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8">
        <v>44110.0</v>
      </c>
      <c r="B339" s="29" t="s">
        <v>377</v>
      </c>
      <c r="C339" s="29" t="s">
        <v>379</v>
      </c>
      <c r="D339" s="7" t="str">
        <f t="shared" si="1"/>
        <v>East/North (T)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8">
        <v>44120.0</v>
      </c>
      <c r="B340" s="29" t="s">
        <v>377</v>
      </c>
      <c r="C340" s="29" t="s">
        <v>380</v>
      </c>
      <c r="D340" s="7" t="str">
        <f t="shared" si="1"/>
        <v>East/North (T)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8">
        <v>44130.0</v>
      </c>
      <c r="B341" s="29" t="s">
        <v>377</v>
      </c>
      <c r="C341" s="29" t="s">
        <v>381</v>
      </c>
      <c r="D341" s="7" t="str">
        <f t="shared" si="1"/>
        <v>East/North (T)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8">
        <v>44140.0</v>
      </c>
      <c r="B342" s="29" t="s">
        <v>377</v>
      </c>
      <c r="C342" s="29" t="s">
        <v>382</v>
      </c>
      <c r="D342" s="7" t="str">
        <f t="shared" si="1"/>
        <v>East/North (T)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8">
        <v>44150.0</v>
      </c>
      <c r="B343" s="29" t="s">
        <v>377</v>
      </c>
      <c r="C343" s="29" t="s">
        <v>383</v>
      </c>
      <c r="D343" s="7" t="str">
        <f t="shared" si="1"/>
        <v>East/North (T)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8">
        <v>44160.0</v>
      </c>
      <c r="B344" s="29" t="s">
        <v>377</v>
      </c>
      <c r="C344" s="29" t="s">
        <v>384</v>
      </c>
      <c r="D344" s="7" t="str">
        <f t="shared" si="1"/>
        <v>East/North (T)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8">
        <v>44170.0</v>
      </c>
      <c r="B345" s="29" t="s">
        <v>377</v>
      </c>
      <c r="C345" s="29" t="s">
        <v>385</v>
      </c>
      <c r="D345" s="7" t="str">
        <f t="shared" si="1"/>
        <v>East/North (T)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8">
        <v>44180.0</v>
      </c>
      <c r="B346" s="29" t="s">
        <v>377</v>
      </c>
      <c r="C346" s="29" t="s">
        <v>386</v>
      </c>
      <c r="D346" s="7" t="str">
        <f t="shared" si="1"/>
        <v>East/North (T)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8">
        <v>44190.0</v>
      </c>
      <c r="B347" s="29" t="s">
        <v>377</v>
      </c>
      <c r="C347" s="29" t="s">
        <v>387</v>
      </c>
      <c r="D347" s="7" t="str">
        <f t="shared" si="1"/>
        <v>East/North (T)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8">
        <v>44210.0</v>
      </c>
      <c r="B348" s="29" t="s">
        <v>377</v>
      </c>
      <c r="C348" s="29" t="s">
        <v>388</v>
      </c>
      <c r="D348" s="7" t="str">
        <f t="shared" si="1"/>
        <v>East/North (T)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8">
        <v>45000.0</v>
      </c>
      <c r="B349" s="29" t="s">
        <v>389</v>
      </c>
      <c r="C349" s="29" t="s">
        <v>390</v>
      </c>
      <c r="D349" s="7" t="str">
        <f t="shared" si="1"/>
        <v>East/North (T)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8">
        <v>45110.0</v>
      </c>
      <c r="B350" s="29" t="s">
        <v>389</v>
      </c>
      <c r="C350" s="29" t="s">
        <v>391</v>
      </c>
      <c r="D350" s="7" t="str">
        <f t="shared" si="1"/>
        <v>East/North (T)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8">
        <v>45120.0</v>
      </c>
      <c r="B351" s="29" t="s">
        <v>389</v>
      </c>
      <c r="C351" s="29" t="s">
        <v>392</v>
      </c>
      <c r="D351" s="7" t="str">
        <f t="shared" si="1"/>
        <v>East/North (T)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8">
        <v>45130.0</v>
      </c>
      <c r="B352" s="29" t="s">
        <v>389</v>
      </c>
      <c r="C352" s="29" t="s">
        <v>393</v>
      </c>
      <c r="D352" s="7" t="str">
        <f t="shared" si="1"/>
        <v>East/North (T)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8">
        <v>45140.0</v>
      </c>
      <c r="B353" s="29" t="s">
        <v>389</v>
      </c>
      <c r="C353" s="29" t="s">
        <v>394</v>
      </c>
      <c r="D353" s="7" t="str">
        <f t="shared" si="1"/>
        <v>East/North (T)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8">
        <v>45150.0</v>
      </c>
      <c r="B354" s="29" t="s">
        <v>389</v>
      </c>
      <c r="C354" s="29" t="s">
        <v>395</v>
      </c>
      <c r="D354" s="7" t="str">
        <f t="shared" si="1"/>
        <v>East/North (T)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8">
        <v>45160.0</v>
      </c>
      <c r="B355" s="29" t="s">
        <v>389</v>
      </c>
      <c r="C355" s="29" t="s">
        <v>396</v>
      </c>
      <c r="D355" s="7" t="str">
        <f t="shared" si="1"/>
        <v>East/North (T)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8">
        <v>45170.0</v>
      </c>
      <c r="B356" s="29" t="s">
        <v>389</v>
      </c>
      <c r="C356" s="29" t="s">
        <v>397</v>
      </c>
      <c r="D356" s="7" t="str">
        <f t="shared" si="1"/>
        <v>East/North (T)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8">
        <v>45180.0</v>
      </c>
      <c r="B357" s="29" t="s">
        <v>389</v>
      </c>
      <c r="C357" s="29" t="s">
        <v>398</v>
      </c>
      <c r="D357" s="7" t="str">
        <f t="shared" si="1"/>
        <v>East/North (T)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8">
        <v>45190.0</v>
      </c>
      <c r="B358" s="29" t="s">
        <v>389</v>
      </c>
      <c r="C358" s="29" t="s">
        <v>399</v>
      </c>
      <c r="D358" s="7" t="str">
        <f t="shared" si="1"/>
        <v>East/North (T)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8">
        <v>45210.0</v>
      </c>
      <c r="B359" s="29" t="s">
        <v>389</v>
      </c>
      <c r="C359" s="29" t="s">
        <v>400</v>
      </c>
      <c r="D359" s="7" t="str">
        <f t="shared" si="1"/>
        <v>East/North (T)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8">
        <v>45220.0</v>
      </c>
      <c r="B360" s="29" t="s">
        <v>389</v>
      </c>
      <c r="C360" s="29" t="s">
        <v>401</v>
      </c>
      <c r="D360" s="7" t="str">
        <f t="shared" si="1"/>
        <v>East/North (T)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8">
        <v>45230.0</v>
      </c>
      <c r="B361" s="29" t="s">
        <v>389</v>
      </c>
      <c r="C361" s="29" t="s">
        <v>402</v>
      </c>
      <c r="D361" s="7" t="str">
        <f t="shared" si="1"/>
        <v>East/North (T)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8">
        <v>45240.0</v>
      </c>
      <c r="B362" s="29" t="s">
        <v>389</v>
      </c>
      <c r="C362" s="29" t="s">
        <v>403</v>
      </c>
      <c r="D362" s="7" t="str">
        <f t="shared" si="1"/>
        <v>East/North (T)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8">
        <v>45250.0</v>
      </c>
      <c r="B363" s="29" t="s">
        <v>389</v>
      </c>
      <c r="C363" s="29" t="s">
        <v>404</v>
      </c>
      <c r="D363" s="7" t="str">
        <f t="shared" si="1"/>
        <v>East/North (T)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8">
        <v>46000.0</v>
      </c>
      <c r="B364" s="29" t="s">
        <v>405</v>
      </c>
      <c r="C364" s="29" t="s">
        <v>406</v>
      </c>
      <c r="D364" s="7" t="str">
        <f t="shared" si="1"/>
        <v>East/North (T)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8">
        <v>46110.0</v>
      </c>
      <c r="B365" s="29" t="s">
        <v>405</v>
      </c>
      <c r="C365" s="29" t="s">
        <v>407</v>
      </c>
      <c r="D365" s="7" t="str">
        <f t="shared" si="1"/>
        <v>East/North (T)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8">
        <v>46120.0</v>
      </c>
      <c r="B366" s="29" t="s">
        <v>405</v>
      </c>
      <c r="C366" s="29" t="s">
        <v>408</v>
      </c>
      <c r="D366" s="7" t="str">
        <f t="shared" si="1"/>
        <v>East/North (T)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8">
        <v>46130.0</v>
      </c>
      <c r="B367" s="29" t="s">
        <v>405</v>
      </c>
      <c r="C367" s="29" t="s">
        <v>409</v>
      </c>
      <c r="D367" s="7" t="str">
        <f t="shared" si="1"/>
        <v>East/North (T)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8">
        <v>46140.0</v>
      </c>
      <c r="B368" s="29" t="s">
        <v>405</v>
      </c>
      <c r="C368" s="29" t="s">
        <v>410</v>
      </c>
      <c r="D368" s="7" t="str">
        <f t="shared" si="1"/>
        <v>East/North (T)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8">
        <v>46150.0</v>
      </c>
      <c r="B369" s="29" t="s">
        <v>405</v>
      </c>
      <c r="C369" s="29" t="s">
        <v>411</v>
      </c>
      <c r="D369" s="7" t="str">
        <f t="shared" si="1"/>
        <v>East/North (T)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8">
        <v>46160.0</v>
      </c>
      <c r="B370" s="29" t="s">
        <v>405</v>
      </c>
      <c r="C370" s="29" t="s">
        <v>412</v>
      </c>
      <c r="D370" s="7" t="str">
        <f t="shared" si="1"/>
        <v>East/North (T)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8">
        <v>46170.0</v>
      </c>
      <c r="B371" s="29" t="s">
        <v>405</v>
      </c>
      <c r="C371" s="29" t="s">
        <v>413</v>
      </c>
      <c r="D371" s="7" t="str">
        <f t="shared" si="1"/>
        <v>East/North (T)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8">
        <v>46180.0</v>
      </c>
      <c r="B372" s="29" t="s">
        <v>405</v>
      </c>
      <c r="C372" s="29" t="s">
        <v>414</v>
      </c>
      <c r="D372" s="7" t="str">
        <f t="shared" si="1"/>
        <v>East/North (T)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8">
        <v>46190.0</v>
      </c>
      <c r="B373" s="29" t="s">
        <v>405</v>
      </c>
      <c r="C373" s="29" t="s">
        <v>415</v>
      </c>
      <c r="D373" s="7" t="str">
        <f t="shared" si="1"/>
        <v>East/North (T)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8">
        <v>46210.0</v>
      </c>
      <c r="B374" s="29" t="s">
        <v>405</v>
      </c>
      <c r="C374" s="29" t="s">
        <v>416</v>
      </c>
      <c r="D374" s="7" t="str">
        <f t="shared" si="1"/>
        <v>East/North (T)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8">
        <v>46220.0</v>
      </c>
      <c r="B375" s="29" t="s">
        <v>405</v>
      </c>
      <c r="C375" s="29" t="s">
        <v>417</v>
      </c>
      <c r="D375" s="7" t="str">
        <f t="shared" si="1"/>
        <v>East/North (T)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8">
        <v>46230.0</v>
      </c>
      <c r="B376" s="29" t="s">
        <v>405</v>
      </c>
      <c r="C376" s="29" t="s">
        <v>418</v>
      </c>
      <c r="D376" s="7" t="str">
        <f t="shared" si="1"/>
        <v>East/North (T)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8">
        <v>46240.0</v>
      </c>
      <c r="B377" s="29" t="s">
        <v>405</v>
      </c>
      <c r="C377" s="29" t="s">
        <v>419</v>
      </c>
      <c r="D377" s="7" t="str">
        <f t="shared" si="1"/>
        <v>East/North (T)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8">
        <v>47000.0</v>
      </c>
      <c r="B378" s="29" t="s">
        <v>420</v>
      </c>
      <c r="C378" s="29" t="s">
        <v>421</v>
      </c>
      <c r="D378" s="7" t="str">
        <f t="shared" si="1"/>
        <v>East/North (T)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8">
        <v>47110.0</v>
      </c>
      <c r="B379" s="29" t="s">
        <v>420</v>
      </c>
      <c r="C379" s="29" t="s">
        <v>422</v>
      </c>
      <c r="D379" s="7" t="str">
        <f t="shared" si="1"/>
        <v>East/North (T)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8">
        <v>47120.0</v>
      </c>
      <c r="B380" s="29" t="s">
        <v>420</v>
      </c>
      <c r="C380" s="29" t="s">
        <v>423</v>
      </c>
      <c r="D380" s="7" t="str">
        <f t="shared" si="1"/>
        <v>East/North (T)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8">
        <v>47130.0</v>
      </c>
      <c r="B381" s="29" t="s">
        <v>420</v>
      </c>
      <c r="C381" s="29" t="s">
        <v>424</v>
      </c>
      <c r="D381" s="7" t="str">
        <f t="shared" si="1"/>
        <v>East/North (T)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8">
        <v>47140.0</v>
      </c>
      <c r="B382" s="29" t="s">
        <v>420</v>
      </c>
      <c r="C382" s="29" t="s">
        <v>425</v>
      </c>
      <c r="D382" s="7" t="str">
        <f t="shared" si="1"/>
        <v>East/North (T)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8">
        <v>47150.0</v>
      </c>
      <c r="B383" s="29" t="s">
        <v>420</v>
      </c>
      <c r="C383" s="29" t="s">
        <v>426</v>
      </c>
      <c r="D383" s="7" t="str">
        <f t="shared" si="1"/>
        <v>East/North (T)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8">
        <v>47160.0</v>
      </c>
      <c r="B384" s="29" t="s">
        <v>420</v>
      </c>
      <c r="C384" s="29" t="s">
        <v>427</v>
      </c>
      <c r="D384" s="7" t="str">
        <f t="shared" si="1"/>
        <v>East/North (T)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8">
        <v>47170.0</v>
      </c>
      <c r="B385" s="29" t="s">
        <v>420</v>
      </c>
      <c r="C385" s="29" t="s">
        <v>428</v>
      </c>
      <c r="D385" s="7" t="str">
        <f t="shared" si="1"/>
        <v>East/North (T)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8">
        <v>47180.0</v>
      </c>
      <c r="B386" s="29" t="s">
        <v>420</v>
      </c>
      <c r="C386" s="29" t="s">
        <v>429</v>
      </c>
      <c r="D386" s="7" t="str">
        <f t="shared" si="1"/>
        <v>East/North (T)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8">
        <v>47190.0</v>
      </c>
      <c r="B387" s="29" t="s">
        <v>420</v>
      </c>
      <c r="C387" s="29" t="s">
        <v>430</v>
      </c>
      <c r="D387" s="7" t="str">
        <f t="shared" si="1"/>
        <v>East/North (T)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8">
        <v>47210.0</v>
      </c>
      <c r="B388" s="29" t="s">
        <v>420</v>
      </c>
      <c r="C388" s="29" t="s">
        <v>431</v>
      </c>
      <c r="D388" s="7" t="str">
        <f t="shared" si="1"/>
        <v>East/North (T)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8">
        <v>47230.0</v>
      </c>
      <c r="B389" s="29" t="s">
        <v>420</v>
      </c>
      <c r="C389" s="29" t="s">
        <v>432</v>
      </c>
      <c r="D389" s="7" t="str">
        <f t="shared" si="1"/>
        <v>East/North (T)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8">
        <v>47250.0</v>
      </c>
      <c r="B390" s="29" t="s">
        <v>420</v>
      </c>
      <c r="C390" s="29" t="s">
        <v>433</v>
      </c>
      <c r="D390" s="7" t="str">
        <f t="shared" si="1"/>
        <v>East/North (T)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8">
        <v>47260.0</v>
      </c>
      <c r="B391" s="29" t="s">
        <v>420</v>
      </c>
      <c r="C391" s="29" t="s">
        <v>434</v>
      </c>
      <c r="D391" s="7" t="str">
        <f t="shared" si="1"/>
        <v>East/North (T)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8">
        <v>47270.0</v>
      </c>
      <c r="B392" s="29" t="s">
        <v>420</v>
      </c>
      <c r="C392" s="29" t="s">
        <v>435</v>
      </c>
      <c r="D392" s="7" t="str">
        <f t="shared" si="1"/>
        <v>East/North (T)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8">
        <v>47280.0</v>
      </c>
      <c r="B393" s="29" t="s">
        <v>420</v>
      </c>
      <c r="C393" s="29" t="s">
        <v>436</v>
      </c>
      <c r="D393" s="7" t="str">
        <f t="shared" si="1"/>
        <v>East/North (T)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8">
        <v>47290.0</v>
      </c>
      <c r="B394" s="29" t="s">
        <v>420</v>
      </c>
      <c r="C394" s="29" t="s">
        <v>437</v>
      </c>
      <c r="D394" s="7" t="str">
        <f t="shared" si="1"/>
        <v>East/North (T)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8">
        <v>48000.0</v>
      </c>
      <c r="B395" s="29" t="s">
        <v>438</v>
      </c>
      <c r="C395" s="29" t="s">
        <v>439</v>
      </c>
      <c r="D395" s="7" t="str">
        <f t="shared" si="1"/>
        <v>East/North (T)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8">
        <v>48110.0</v>
      </c>
      <c r="B396" s="29" t="s">
        <v>438</v>
      </c>
      <c r="C396" s="29" t="s">
        <v>440</v>
      </c>
      <c r="D396" s="7" t="str">
        <f t="shared" si="1"/>
        <v>East/North (T)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8">
        <v>48120.0</v>
      </c>
      <c r="B397" s="29" t="s">
        <v>438</v>
      </c>
      <c r="C397" s="29" t="s">
        <v>441</v>
      </c>
      <c r="D397" s="7" t="str">
        <f t="shared" si="1"/>
        <v>East/North (T)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8">
        <v>48130.0</v>
      </c>
      <c r="B398" s="29" t="s">
        <v>438</v>
      </c>
      <c r="C398" s="29" t="s">
        <v>442</v>
      </c>
      <c r="D398" s="7" t="str">
        <f t="shared" si="1"/>
        <v>East/North (T)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8">
        <v>48140.0</v>
      </c>
      <c r="B399" s="29" t="s">
        <v>438</v>
      </c>
      <c r="C399" s="29" t="s">
        <v>443</v>
      </c>
      <c r="D399" s="7" t="str">
        <f t="shared" si="1"/>
        <v>East/North (T)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8">
        <v>48150.0</v>
      </c>
      <c r="B400" s="29" t="s">
        <v>438</v>
      </c>
      <c r="C400" s="29" t="s">
        <v>444</v>
      </c>
      <c r="D400" s="7" t="str">
        <f t="shared" si="1"/>
        <v>East/North (T)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8">
        <v>48160.0</v>
      </c>
      <c r="B401" s="29" t="s">
        <v>438</v>
      </c>
      <c r="C401" s="29" t="s">
        <v>445</v>
      </c>
      <c r="D401" s="7" t="str">
        <f t="shared" si="1"/>
        <v>East/North (T)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8">
        <v>48170.0</v>
      </c>
      <c r="B402" s="29" t="s">
        <v>438</v>
      </c>
      <c r="C402" s="29" t="s">
        <v>446</v>
      </c>
      <c r="D402" s="7" t="str">
        <f t="shared" si="1"/>
        <v>East/North (T)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8">
        <v>48180.0</v>
      </c>
      <c r="B403" s="29" t="s">
        <v>438</v>
      </c>
      <c r="C403" s="29" t="s">
        <v>447</v>
      </c>
      <c r="D403" s="7" t="str">
        <f t="shared" si="1"/>
        <v>East/North (T)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8">
        <v>48190.0</v>
      </c>
      <c r="B404" s="29" t="s">
        <v>438</v>
      </c>
      <c r="C404" s="29" t="s">
        <v>448</v>
      </c>
      <c r="D404" s="7" t="str">
        <f t="shared" si="1"/>
        <v>East/North (T)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8">
        <v>49000.0</v>
      </c>
      <c r="B405" s="29" t="s">
        <v>449</v>
      </c>
      <c r="C405" s="29" t="s">
        <v>450</v>
      </c>
      <c r="D405" s="7" t="str">
        <f t="shared" si="1"/>
        <v>East/North (T)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8">
        <v>49110.0</v>
      </c>
      <c r="B406" s="29" t="s">
        <v>449</v>
      </c>
      <c r="C406" s="29" t="s">
        <v>451</v>
      </c>
      <c r="D406" s="7" t="str">
        <f t="shared" si="1"/>
        <v>East/North (T)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8">
        <v>49120.0</v>
      </c>
      <c r="B407" s="29" t="s">
        <v>449</v>
      </c>
      <c r="C407" s="29" t="s">
        <v>452</v>
      </c>
      <c r="D407" s="7" t="str">
        <f t="shared" si="1"/>
        <v>East/North (T)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8">
        <v>49130.0</v>
      </c>
      <c r="B408" s="29" t="s">
        <v>449</v>
      </c>
      <c r="C408" s="29" t="s">
        <v>453</v>
      </c>
      <c r="D408" s="7" t="str">
        <f t="shared" si="1"/>
        <v>East/North (T)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8">
        <v>49140.0</v>
      </c>
      <c r="B409" s="29" t="s">
        <v>449</v>
      </c>
      <c r="C409" s="29" t="s">
        <v>454</v>
      </c>
      <c r="D409" s="7" t="str">
        <f t="shared" si="1"/>
        <v>East/North (T)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8">
        <v>49150.0</v>
      </c>
      <c r="B410" s="29" t="s">
        <v>449</v>
      </c>
      <c r="C410" s="29" t="s">
        <v>455</v>
      </c>
      <c r="D410" s="7" t="str">
        <f t="shared" si="1"/>
        <v>East/North (T)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8">
        <v>49160.0</v>
      </c>
      <c r="B411" s="29" t="s">
        <v>449</v>
      </c>
      <c r="C411" s="29" t="s">
        <v>456</v>
      </c>
      <c r="D411" s="7" t="str">
        <f t="shared" si="1"/>
        <v>East/North (T)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8">
        <v>50000.0</v>
      </c>
      <c r="B412" s="29" t="s">
        <v>457</v>
      </c>
      <c r="C412" s="29" t="s">
        <v>458</v>
      </c>
      <c r="D412" s="7" t="str">
        <f t="shared" si="1"/>
        <v>North (T)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8">
        <v>50110.0</v>
      </c>
      <c r="B413" s="29" t="s">
        <v>457</v>
      </c>
      <c r="C413" s="29" t="s">
        <v>459</v>
      </c>
      <c r="D413" s="7" t="str">
        <f t="shared" si="1"/>
        <v>North (T)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8">
        <v>50120.0</v>
      </c>
      <c r="B414" s="29" t="s">
        <v>457</v>
      </c>
      <c r="C414" s="29" t="s">
        <v>460</v>
      </c>
      <c r="D414" s="7" t="str">
        <f t="shared" si="1"/>
        <v>North (T)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8">
        <v>50130.0</v>
      </c>
      <c r="B415" s="29" t="s">
        <v>457</v>
      </c>
      <c r="C415" s="29" t="s">
        <v>461</v>
      </c>
      <c r="D415" s="7" t="str">
        <f t="shared" si="1"/>
        <v>North (T)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8">
        <v>50140.0</v>
      </c>
      <c r="B416" s="29" t="s">
        <v>457</v>
      </c>
      <c r="C416" s="29" t="s">
        <v>462</v>
      </c>
      <c r="D416" s="7" t="str">
        <f t="shared" si="1"/>
        <v>North (T)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8">
        <v>50150.0</v>
      </c>
      <c r="B417" s="29" t="s">
        <v>457</v>
      </c>
      <c r="C417" s="29" t="s">
        <v>463</v>
      </c>
      <c r="D417" s="7" t="str">
        <f t="shared" si="1"/>
        <v>North (T)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8">
        <v>50160.0</v>
      </c>
      <c r="B418" s="29" t="s">
        <v>457</v>
      </c>
      <c r="C418" s="29" t="s">
        <v>464</v>
      </c>
      <c r="D418" s="7" t="str">
        <f t="shared" si="1"/>
        <v>North (T)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8">
        <v>50170.0</v>
      </c>
      <c r="B419" s="29" t="s">
        <v>457</v>
      </c>
      <c r="C419" s="29" t="s">
        <v>465</v>
      </c>
      <c r="D419" s="7" t="str">
        <f t="shared" si="1"/>
        <v>North (T)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8">
        <v>50180.0</v>
      </c>
      <c r="B420" s="29" t="s">
        <v>457</v>
      </c>
      <c r="C420" s="29" t="s">
        <v>466</v>
      </c>
      <c r="D420" s="7" t="str">
        <f t="shared" si="1"/>
        <v>North (T)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8">
        <v>50190.0</v>
      </c>
      <c r="B421" s="29" t="s">
        <v>457</v>
      </c>
      <c r="C421" s="29" t="s">
        <v>467</v>
      </c>
      <c r="D421" s="7" t="str">
        <f t="shared" si="1"/>
        <v>North (T)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8">
        <v>50210.0</v>
      </c>
      <c r="B422" s="29" t="s">
        <v>457</v>
      </c>
      <c r="C422" s="29" t="s">
        <v>468</v>
      </c>
      <c r="D422" s="7" t="str">
        <f t="shared" si="1"/>
        <v>North (T)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8">
        <v>50220.0</v>
      </c>
      <c r="B423" s="29" t="s">
        <v>457</v>
      </c>
      <c r="C423" s="29" t="s">
        <v>469</v>
      </c>
      <c r="D423" s="7" t="str">
        <f t="shared" si="1"/>
        <v>North (T)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8">
        <v>50230.0</v>
      </c>
      <c r="B424" s="29" t="s">
        <v>457</v>
      </c>
      <c r="C424" s="29" t="s">
        <v>470</v>
      </c>
      <c r="D424" s="7" t="str">
        <f t="shared" si="1"/>
        <v>North (T)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8">
        <v>50240.0</v>
      </c>
      <c r="B425" s="29" t="s">
        <v>457</v>
      </c>
      <c r="C425" s="29" t="s">
        <v>471</v>
      </c>
      <c r="D425" s="7" t="str">
        <f t="shared" si="1"/>
        <v>North (T)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8">
        <v>50250.0</v>
      </c>
      <c r="B426" s="29" t="s">
        <v>457</v>
      </c>
      <c r="C426" s="29" t="s">
        <v>472</v>
      </c>
      <c r="D426" s="7" t="str">
        <f t="shared" si="1"/>
        <v>North (T)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8">
        <v>50260.0</v>
      </c>
      <c r="B427" s="29" t="s">
        <v>457</v>
      </c>
      <c r="C427" s="29" t="s">
        <v>473</v>
      </c>
      <c r="D427" s="7" t="str">
        <f t="shared" si="1"/>
        <v>North (T)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8">
        <v>50270.0</v>
      </c>
      <c r="B428" s="29" t="s">
        <v>457</v>
      </c>
      <c r="C428" s="29" t="s">
        <v>474</v>
      </c>
      <c r="D428" s="7" t="str">
        <f t="shared" si="1"/>
        <v>North (T)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8">
        <v>50280.0</v>
      </c>
      <c r="B429" s="29" t="s">
        <v>457</v>
      </c>
      <c r="C429" s="29" t="s">
        <v>475</v>
      </c>
      <c r="D429" s="7" t="str">
        <f t="shared" si="1"/>
        <v>North (T)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8">
        <v>50310.0</v>
      </c>
      <c r="B430" s="29" t="s">
        <v>457</v>
      </c>
      <c r="C430" s="29" t="s">
        <v>476</v>
      </c>
      <c r="D430" s="7" t="str">
        <f t="shared" si="1"/>
        <v>North (T)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8">
        <v>50320.0</v>
      </c>
      <c r="B431" s="29" t="s">
        <v>457</v>
      </c>
      <c r="C431" s="29" t="s">
        <v>477</v>
      </c>
      <c r="D431" s="7" t="str">
        <f t="shared" si="1"/>
        <v>North (T)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8">
        <v>50350.0</v>
      </c>
      <c r="B432" s="29" t="s">
        <v>457</v>
      </c>
      <c r="C432" s="29" t="s">
        <v>478</v>
      </c>
      <c r="D432" s="7" t="str">
        <f t="shared" si="1"/>
        <v>North (T)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8">
        <v>50360.0</v>
      </c>
      <c r="B433" s="29" t="s">
        <v>457</v>
      </c>
      <c r="C433" s="29" t="s">
        <v>479</v>
      </c>
      <c r="D433" s="7" t="str">
        <f t="shared" si="1"/>
        <v>North (T)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8">
        <v>51000.0</v>
      </c>
      <c r="B434" s="29" t="s">
        <v>480</v>
      </c>
      <c r="C434" s="29" t="s">
        <v>481</v>
      </c>
      <c r="D434" s="7" t="str">
        <f t="shared" si="1"/>
        <v>North (T)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8">
        <v>51110.0</v>
      </c>
      <c r="B435" s="29" t="s">
        <v>480</v>
      </c>
      <c r="C435" s="29" t="s">
        <v>482</v>
      </c>
      <c r="D435" s="7" t="str">
        <f t="shared" si="1"/>
        <v>North (T)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8">
        <v>51120.0</v>
      </c>
      <c r="B436" s="29" t="s">
        <v>480</v>
      </c>
      <c r="C436" s="29" t="s">
        <v>483</v>
      </c>
      <c r="D436" s="7" t="str">
        <f t="shared" si="1"/>
        <v>North (T)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8">
        <v>51130.0</v>
      </c>
      <c r="B437" s="29" t="s">
        <v>480</v>
      </c>
      <c r="C437" s="29" t="s">
        <v>484</v>
      </c>
      <c r="D437" s="7" t="str">
        <f t="shared" si="1"/>
        <v>North (T)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8">
        <v>51140.0</v>
      </c>
      <c r="B438" s="29" t="s">
        <v>480</v>
      </c>
      <c r="C438" s="29" t="s">
        <v>485</v>
      </c>
      <c r="D438" s="7" t="str">
        <f t="shared" si="1"/>
        <v>North (T)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8">
        <v>51160.0</v>
      </c>
      <c r="B439" s="29" t="s">
        <v>480</v>
      </c>
      <c r="C439" s="29" t="s">
        <v>486</v>
      </c>
      <c r="D439" s="7" t="str">
        <f t="shared" si="1"/>
        <v>North (T)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8">
        <v>51180.0</v>
      </c>
      <c r="B440" s="29" t="s">
        <v>480</v>
      </c>
      <c r="C440" s="29" t="s">
        <v>487</v>
      </c>
      <c r="D440" s="7" t="str">
        <f t="shared" si="1"/>
        <v>North (T)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8">
        <v>52000.0</v>
      </c>
      <c r="B441" s="29" t="s">
        <v>488</v>
      </c>
      <c r="C441" s="29" t="s">
        <v>489</v>
      </c>
      <c r="D441" s="7" t="str">
        <f t="shared" si="1"/>
        <v>North (T)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8">
        <v>52110.0</v>
      </c>
      <c r="B442" s="29" t="s">
        <v>488</v>
      </c>
      <c r="C442" s="29" t="s">
        <v>490</v>
      </c>
      <c r="D442" s="7" t="str">
        <f t="shared" si="1"/>
        <v>North (T)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8">
        <v>52120.0</v>
      </c>
      <c r="B443" s="29" t="s">
        <v>488</v>
      </c>
      <c r="C443" s="29" t="s">
        <v>491</v>
      </c>
      <c r="D443" s="7" t="str">
        <f t="shared" si="1"/>
        <v>North (T)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8">
        <v>52130.0</v>
      </c>
      <c r="B444" s="29" t="s">
        <v>488</v>
      </c>
      <c r="C444" s="29" t="s">
        <v>492</v>
      </c>
      <c r="D444" s="7" t="str">
        <f t="shared" si="1"/>
        <v>North (T)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8">
        <v>52140.0</v>
      </c>
      <c r="B445" s="29" t="s">
        <v>488</v>
      </c>
      <c r="C445" s="29" t="s">
        <v>493</v>
      </c>
      <c r="D445" s="7" t="str">
        <f t="shared" si="1"/>
        <v>North (T)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8">
        <v>52150.0</v>
      </c>
      <c r="B446" s="29" t="s">
        <v>488</v>
      </c>
      <c r="C446" s="29" t="s">
        <v>485</v>
      </c>
      <c r="D446" s="7" t="str">
        <f t="shared" si="1"/>
        <v>North (T)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8">
        <v>52160.0</v>
      </c>
      <c r="B447" s="29" t="s">
        <v>488</v>
      </c>
      <c r="C447" s="29" t="s">
        <v>494</v>
      </c>
      <c r="D447" s="7" t="str">
        <f t="shared" si="1"/>
        <v>North (T)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8">
        <v>52170.0</v>
      </c>
      <c r="B448" s="29" t="s">
        <v>488</v>
      </c>
      <c r="C448" s="29" t="s">
        <v>495</v>
      </c>
      <c r="D448" s="7" t="str">
        <f t="shared" si="1"/>
        <v>North (T)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8">
        <v>52180.0</v>
      </c>
      <c r="B449" s="29" t="s">
        <v>488</v>
      </c>
      <c r="C449" s="29" t="s">
        <v>496</v>
      </c>
      <c r="D449" s="7" t="str">
        <f t="shared" si="1"/>
        <v>North (T)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8">
        <v>52190.0</v>
      </c>
      <c r="B450" s="29" t="s">
        <v>488</v>
      </c>
      <c r="C450" s="29" t="s">
        <v>497</v>
      </c>
      <c r="D450" s="7" t="str">
        <f t="shared" si="1"/>
        <v>North (T)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8">
        <v>52210.0</v>
      </c>
      <c r="B451" s="29" t="s">
        <v>488</v>
      </c>
      <c r="C451" s="29" t="s">
        <v>498</v>
      </c>
      <c r="D451" s="7" t="str">
        <f t="shared" si="1"/>
        <v>North (T)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8">
        <v>52220.0</v>
      </c>
      <c r="B452" s="29" t="s">
        <v>488</v>
      </c>
      <c r="C452" s="29" t="s">
        <v>499</v>
      </c>
      <c r="D452" s="7" t="str">
        <f t="shared" si="1"/>
        <v>North (T)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8">
        <v>52240.0</v>
      </c>
      <c r="B453" s="29" t="s">
        <v>488</v>
      </c>
      <c r="C453" s="29" t="s">
        <v>500</v>
      </c>
      <c r="D453" s="7" t="str">
        <f t="shared" si="1"/>
        <v>North (T)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8">
        <v>53000.0</v>
      </c>
      <c r="B454" s="29" t="s">
        <v>501</v>
      </c>
      <c r="C454" s="29" t="s">
        <v>502</v>
      </c>
      <c r="D454" s="7" t="str">
        <f t="shared" si="1"/>
        <v>North (T)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8">
        <v>53110.0</v>
      </c>
      <c r="B455" s="29" t="s">
        <v>501</v>
      </c>
      <c r="C455" s="29" t="s">
        <v>503</v>
      </c>
      <c r="D455" s="7" t="str">
        <f t="shared" si="1"/>
        <v>North (T)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8">
        <v>53120.0</v>
      </c>
      <c r="B456" s="29" t="s">
        <v>501</v>
      </c>
      <c r="C456" s="29" t="s">
        <v>504</v>
      </c>
      <c r="D456" s="7" t="str">
        <f t="shared" si="1"/>
        <v>North (T)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8">
        <v>53130.0</v>
      </c>
      <c r="B457" s="29" t="s">
        <v>501</v>
      </c>
      <c r="C457" s="29" t="s">
        <v>505</v>
      </c>
      <c r="D457" s="7" t="str">
        <f t="shared" si="1"/>
        <v>North (T)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8">
        <v>53140.0</v>
      </c>
      <c r="B458" s="29" t="s">
        <v>501</v>
      </c>
      <c r="C458" s="29" t="s">
        <v>506</v>
      </c>
      <c r="D458" s="7" t="str">
        <f t="shared" si="1"/>
        <v>North (T)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8">
        <v>53150.0</v>
      </c>
      <c r="B459" s="29" t="s">
        <v>501</v>
      </c>
      <c r="C459" s="29" t="s">
        <v>507</v>
      </c>
      <c r="D459" s="7" t="str">
        <f t="shared" si="1"/>
        <v>North (T)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8">
        <v>53160.0</v>
      </c>
      <c r="B460" s="29" t="s">
        <v>501</v>
      </c>
      <c r="C460" s="29" t="s">
        <v>508</v>
      </c>
      <c r="D460" s="7" t="str">
        <f t="shared" si="1"/>
        <v>North (T)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8">
        <v>53180.0</v>
      </c>
      <c r="B461" s="29" t="s">
        <v>501</v>
      </c>
      <c r="C461" s="29" t="s">
        <v>509</v>
      </c>
      <c r="D461" s="7" t="str">
        <f t="shared" si="1"/>
        <v>North (T)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8">
        <v>53230.0</v>
      </c>
      <c r="B462" s="29" t="s">
        <v>501</v>
      </c>
      <c r="C462" s="29" t="s">
        <v>510</v>
      </c>
      <c r="D462" s="7" t="str">
        <f t="shared" si="1"/>
        <v>North (T)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8">
        <v>54000.0</v>
      </c>
      <c r="B463" s="29" t="s">
        <v>511</v>
      </c>
      <c r="C463" s="29" t="s">
        <v>512</v>
      </c>
      <c r="D463" s="7" t="str">
        <f t="shared" si="1"/>
        <v>North (T)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8">
        <v>54120.0</v>
      </c>
      <c r="B464" s="29" t="s">
        <v>511</v>
      </c>
      <c r="C464" s="29" t="s">
        <v>513</v>
      </c>
      <c r="D464" s="7" t="str">
        <f t="shared" si="1"/>
        <v>North (T)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8">
        <v>54130.0</v>
      </c>
      <c r="B465" s="29" t="s">
        <v>511</v>
      </c>
      <c r="C465" s="29" t="s">
        <v>514</v>
      </c>
      <c r="D465" s="7" t="str">
        <f t="shared" si="1"/>
        <v>North (T)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8">
        <v>54140.0</v>
      </c>
      <c r="B466" s="29" t="s">
        <v>511</v>
      </c>
      <c r="C466" s="29" t="s">
        <v>515</v>
      </c>
      <c r="D466" s="7" t="str">
        <f t="shared" si="1"/>
        <v>North (T)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8">
        <v>54150.0</v>
      </c>
      <c r="B467" s="29" t="s">
        <v>511</v>
      </c>
      <c r="C467" s="29" t="s">
        <v>516</v>
      </c>
      <c r="D467" s="7" t="str">
        <f t="shared" si="1"/>
        <v>North (T)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8">
        <v>54160.0</v>
      </c>
      <c r="B468" s="29" t="s">
        <v>511</v>
      </c>
      <c r="C468" s="29" t="s">
        <v>517</v>
      </c>
      <c r="D468" s="7" t="str">
        <f t="shared" si="1"/>
        <v>North (T)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8">
        <v>54170.0</v>
      </c>
      <c r="B469" s="29" t="s">
        <v>511</v>
      </c>
      <c r="C469" s="29" t="s">
        <v>518</v>
      </c>
      <c r="D469" s="7" t="str">
        <f t="shared" si="1"/>
        <v>North (T)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8">
        <v>55000.0</v>
      </c>
      <c r="B470" s="29" t="s">
        <v>519</v>
      </c>
      <c r="C470" s="29" t="s">
        <v>520</v>
      </c>
      <c r="D470" s="7" t="str">
        <f t="shared" si="1"/>
        <v>North (T)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8">
        <v>55110.0</v>
      </c>
      <c r="B471" s="29" t="s">
        <v>519</v>
      </c>
      <c r="C471" s="29" t="s">
        <v>521</v>
      </c>
      <c r="D471" s="7" t="str">
        <f t="shared" si="1"/>
        <v>North (T)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8">
        <v>55120.0</v>
      </c>
      <c r="B472" s="29" t="s">
        <v>519</v>
      </c>
      <c r="C472" s="29" t="s">
        <v>522</v>
      </c>
      <c r="D472" s="7" t="str">
        <f t="shared" si="1"/>
        <v>North (T)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8">
        <v>55130.0</v>
      </c>
      <c r="B473" s="29" t="s">
        <v>519</v>
      </c>
      <c r="C473" s="29" t="s">
        <v>523</v>
      </c>
      <c r="D473" s="7" t="str">
        <f t="shared" si="1"/>
        <v>North (T)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8">
        <v>55140.0</v>
      </c>
      <c r="B474" s="29" t="s">
        <v>519</v>
      </c>
      <c r="C474" s="29" t="s">
        <v>524</v>
      </c>
      <c r="D474" s="7" t="str">
        <f t="shared" si="1"/>
        <v>North (T)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8">
        <v>55150.0</v>
      </c>
      <c r="B475" s="29" t="s">
        <v>519</v>
      </c>
      <c r="C475" s="29" t="s">
        <v>525</v>
      </c>
      <c r="D475" s="7" t="str">
        <f t="shared" si="1"/>
        <v>North (T)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8">
        <v>55160.0</v>
      </c>
      <c r="B476" s="29" t="s">
        <v>519</v>
      </c>
      <c r="C476" s="29" t="s">
        <v>526</v>
      </c>
      <c r="D476" s="7" t="str">
        <f t="shared" si="1"/>
        <v>North (T)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8">
        <v>55170.0</v>
      </c>
      <c r="B477" s="29" t="s">
        <v>519</v>
      </c>
      <c r="C477" s="29" t="s">
        <v>527</v>
      </c>
      <c r="D477" s="7" t="str">
        <f t="shared" si="1"/>
        <v>North (T)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8">
        <v>55180.0</v>
      </c>
      <c r="B478" s="29" t="s">
        <v>519</v>
      </c>
      <c r="C478" s="29" t="s">
        <v>528</v>
      </c>
      <c r="D478" s="7" t="str">
        <f t="shared" si="1"/>
        <v>North (T)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8">
        <v>55190.0</v>
      </c>
      <c r="B479" s="29" t="s">
        <v>519</v>
      </c>
      <c r="C479" s="29" t="s">
        <v>529</v>
      </c>
      <c r="D479" s="7" t="str">
        <f t="shared" si="1"/>
        <v>North (T)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8">
        <v>55220.0</v>
      </c>
      <c r="B480" s="29" t="s">
        <v>519</v>
      </c>
      <c r="C480" s="29" t="s">
        <v>530</v>
      </c>
      <c r="D480" s="7" t="str">
        <f t="shared" si="1"/>
        <v>North (T)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8">
        <v>56000.0</v>
      </c>
      <c r="B481" s="29" t="s">
        <v>531</v>
      </c>
      <c r="C481" s="29" t="s">
        <v>532</v>
      </c>
      <c r="D481" s="7" t="str">
        <f t="shared" si="1"/>
        <v>North (T)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8">
        <v>56110.0</v>
      </c>
      <c r="B482" s="29" t="s">
        <v>531</v>
      </c>
      <c r="C482" s="29" t="s">
        <v>533</v>
      </c>
      <c r="D482" s="7" t="str">
        <f t="shared" si="1"/>
        <v>North (T)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8">
        <v>56120.0</v>
      </c>
      <c r="B483" s="29" t="s">
        <v>531</v>
      </c>
      <c r="C483" s="29" t="s">
        <v>534</v>
      </c>
      <c r="D483" s="7" t="str">
        <f t="shared" si="1"/>
        <v>North (T)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8">
        <v>56130.0</v>
      </c>
      <c r="B484" s="29" t="s">
        <v>531</v>
      </c>
      <c r="C484" s="29" t="s">
        <v>535</v>
      </c>
      <c r="D484" s="7" t="str">
        <f t="shared" si="1"/>
        <v>North (T)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8">
        <v>56140.0</v>
      </c>
      <c r="B485" s="29" t="s">
        <v>531</v>
      </c>
      <c r="C485" s="29" t="s">
        <v>536</v>
      </c>
      <c r="D485" s="7" t="str">
        <f t="shared" si="1"/>
        <v>North (T)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8">
        <v>56150.0</v>
      </c>
      <c r="B486" s="29" t="s">
        <v>531</v>
      </c>
      <c r="C486" s="29" t="s">
        <v>537</v>
      </c>
      <c r="D486" s="7" t="str">
        <f t="shared" si="1"/>
        <v>North (T)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8">
        <v>56160.0</v>
      </c>
      <c r="B487" s="29" t="s">
        <v>531</v>
      </c>
      <c r="C487" s="29" t="s">
        <v>538</v>
      </c>
      <c r="D487" s="7" t="str">
        <f t="shared" si="1"/>
        <v>North (T)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8">
        <v>57000.0</v>
      </c>
      <c r="B488" s="29" t="s">
        <v>539</v>
      </c>
      <c r="C488" s="29" t="s">
        <v>540</v>
      </c>
      <c r="D488" s="7" t="str">
        <f t="shared" si="1"/>
        <v>North (T)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8">
        <v>57110.0</v>
      </c>
      <c r="B489" s="29" t="s">
        <v>539</v>
      </c>
      <c r="C489" s="29" t="s">
        <v>541</v>
      </c>
      <c r="D489" s="7" t="str">
        <f t="shared" si="1"/>
        <v>North (T)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8">
        <v>57120.0</v>
      </c>
      <c r="B490" s="29" t="s">
        <v>539</v>
      </c>
      <c r="C490" s="29" t="s">
        <v>542</v>
      </c>
      <c r="D490" s="7" t="str">
        <f t="shared" si="1"/>
        <v>North (T)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8">
        <v>57130.0</v>
      </c>
      <c r="B491" s="29" t="s">
        <v>539</v>
      </c>
      <c r="C491" s="29" t="s">
        <v>543</v>
      </c>
      <c r="D491" s="7" t="str">
        <f t="shared" si="1"/>
        <v>North (T)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8">
        <v>57140.0</v>
      </c>
      <c r="B492" s="29" t="s">
        <v>539</v>
      </c>
      <c r="C492" s="29" t="s">
        <v>544</v>
      </c>
      <c r="D492" s="7" t="str">
        <f t="shared" si="1"/>
        <v>North (T)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8">
        <v>57150.0</v>
      </c>
      <c r="B493" s="29" t="s">
        <v>539</v>
      </c>
      <c r="C493" s="29" t="s">
        <v>545</v>
      </c>
      <c r="D493" s="7" t="str">
        <f t="shared" si="1"/>
        <v>North (T)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8">
        <v>57160.0</v>
      </c>
      <c r="B494" s="29" t="s">
        <v>539</v>
      </c>
      <c r="C494" s="29" t="s">
        <v>546</v>
      </c>
      <c r="D494" s="7" t="str">
        <f t="shared" si="1"/>
        <v>North (T)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8">
        <v>57170.0</v>
      </c>
      <c r="B495" s="29" t="s">
        <v>539</v>
      </c>
      <c r="C495" s="29" t="s">
        <v>547</v>
      </c>
      <c r="D495" s="7" t="str">
        <f t="shared" si="1"/>
        <v>North (T)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8">
        <v>57180.0</v>
      </c>
      <c r="B496" s="29" t="s">
        <v>539</v>
      </c>
      <c r="C496" s="29" t="s">
        <v>548</v>
      </c>
      <c r="D496" s="7" t="str">
        <f t="shared" si="1"/>
        <v>North (T)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8">
        <v>57190.0</v>
      </c>
      <c r="B497" s="29" t="s">
        <v>539</v>
      </c>
      <c r="C497" s="29" t="s">
        <v>549</v>
      </c>
      <c r="D497" s="7" t="str">
        <f t="shared" si="1"/>
        <v>North (T)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8">
        <v>57210.0</v>
      </c>
      <c r="B498" s="29" t="s">
        <v>539</v>
      </c>
      <c r="C498" s="29" t="s">
        <v>550</v>
      </c>
      <c r="D498" s="7" t="str">
        <f t="shared" si="1"/>
        <v>North (T)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8">
        <v>57250.0</v>
      </c>
      <c r="B499" s="29" t="s">
        <v>539</v>
      </c>
      <c r="C499" s="29" t="s">
        <v>551</v>
      </c>
      <c r="D499" s="7" t="str">
        <f t="shared" si="1"/>
        <v>North (T)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8">
        <v>57290.0</v>
      </c>
      <c r="B500" s="29" t="s">
        <v>539</v>
      </c>
      <c r="C500" s="29" t="s">
        <v>552</v>
      </c>
      <c r="D500" s="7" t="str">
        <f t="shared" si="1"/>
        <v>North (T)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8">
        <v>57310.0</v>
      </c>
      <c r="B501" s="29" t="s">
        <v>539</v>
      </c>
      <c r="C501" s="29" t="s">
        <v>553</v>
      </c>
      <c r="D501" s="7" t="str">
        <f t="shared" si="1"/>
        <v>North (T)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8">
        <v>57340.0</v>
      </c>
      <c r="B502" s="29" t="s">
        <v>539</v>
      </c>
      <c r="C502" s="29" t="s">
        <v>554</v>
      </c>
      <c r="D502" s="7" t="str">
        <f t="shared" si="1"/>
        <v>North (T)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8">
        <v>58000.0</v>
      </c>
      <c r="B503" s="29" t="s">
        <v>555</v>
      </c>
      <c r="C503" s="29" t="s">
        <v>556</v>
      </c>
      <c r="D503" s="7" t="str">
        <f t="shared" si="1"/>
        <v>North (T)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8">
        <v>58110.0</v>
      </c>
      <c r="B504" s="29" t="s">
        <v>555</v>
      </c>
      <c r="C504" s="29" t="s">
        <v>557</v>
      </c>
      <c r="D504" s="7" t="str">
        <f t="shared" si="1"/>
        <v>North (T)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8">
        <v>58120.0</v>
      </c>
      <c r="B505" s="29" t="s">
        <v>555</v>
      </c>
      <c r="C505" s="29" t="s">
        <v>558</v>
      </c>
      <c r="D505" s="7" t="str">
        <f t="shared" si="1"/>
        <v>North (T)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8">
        <v>58130.0</v>
      </c>
      <c r="B506" s="29" t="s">
        <v>555</v>
      </c>
      <c r="C506" s="29" t="s">
        <v>559</v>
      </c>
      <c r="D506" s="7" t="str">
        <f t="shared" si="1"/>
        <v>North (T)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8">
        <v>58140.0</v>
      </c>
      <c r="B507" s="29" t="s">
        <v>555</v>
      </c>
      <c r="C507" s="29" t="s">
        <v>560</v>
      </c>
      <c r="D507" s="7" t="str">
        <f t="shared" si="1"/>
        <v>North (T)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8">
        <v>58150.0</v>
      </c>
      <c r="B508" s="29" t="s">
        <v>555</v>
      </c>
      <c r="C508" s="29" t="s">
        <v>561</v>
      </c>
      <c r="D508" s="7" t="str">
        <f t="shared" si="1"/>
        <v>North (T)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8">
        <v>60000.0</v>
      </c>
      <c r="B509" s="29" t="s">
        <v>562</v>
      </c>
      <c r="C509" s="29" t="s">
        <v>563</v>
      </c>
      <c r="D509" s="7" t="str">
        <f t="shared" si="1"/>
        <v>North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8">
        <v>60110.0</v>
      </c>
      <c r="B510" s="29" t="s">
        <v>562</v>
      </c>
      <c r="C510" s="29" t="s">
        <v>564</v>
      </c>
      <c r="D510" s="7" t="str">
        <f t="shared" si="1"/>
        <v>North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8">
        <v>60120.0</v>
      </c>
      <c r="B511" s="29" t="s">
        <v>562</v>
      </c>
      <c r="C511" s="29" t="s">
        <v>565</v>
      </c>
      <c r="D511" s="7" t="str">
        <f t="shared" si="1"/>
        <v>North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8">
        <v>60130.0</v>
      </c>
      <c r="B512" s="29" t="s">
        <v>562</v>
      </c>
      <c r="C512" s="29" t="s">
        <v>566</v>
      </c>
      <c r="D512" s="7" t="str">
        <f t="shared" si="1"/>
        <v>North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8">
        <v>60140.0</v>
      </c>
      <c r="B513" s="29" t="s">
        <v>562</v>
      </c>
      <c r="C513" s="29" t="s">
        <v>567</v>
      </c>
      <c r="D513" s="7" t="str">
        <f t="shared" si="1"/>
        <v>North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8">
        <v>60150.0</v>
      </c>
      <c r="B514" s="29" t="s">
        <v>562</v>
      </c>
      <c r="C514" s="29" t="s">
        <v>568</v>
      </c>
      <c r="D514" s="7" t="str">
        <f t="shared" si="1"/>
        <v>North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8">
        <v>60160.0</v>
      </c>
      <c r="B515" s="29" t="s">
        <v>562</v>
      </c>
      <c r="C515" s="29" t="s">
        <v>569</v>
      </c>
      <c r="D515" s="7" t="str">
        <f t="shared" si="1"/>
        <v>North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8">
        <v>60170.0</v>
      </c>
      <c r="B516" s="29" t="s">
        <v>562</v>
      </c>
      <c r="C516" s="29" t="s">
        <v>570</v>
      </c>
      <c r="D516" s="7" t="str">
        <f t="shared" si="1"/>
        <v>North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8">
        <v>60180.0</v>
      </c>
      <c r="B517" s="29" t="s">
        <v>562</v>
      </c>
      <c r="C517" s="29" t="s">
        <v>571</v>
      </c>
      <c r="D517" s="7" t="str">
        <f t="shared" si="1"/>
        <v>North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8">
        <v>60190.0</v>
      </c>
      <c r="B518" s="29" t="s">
        <v>562</v>
      </c>
      <c r="C518" s="29" t="s">
        <v>572</v>
      </c>
      <c r="D518" s="7" t="str">
        <f t="shared" si="1"/>
        <v>North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8">
        <v>60220.0</v>
      </c>
      <c r="B519" s="29" t="s">
        <v>562</v>
      </c>
      <c r="C519" s="29" t="s">
        <v>573</v>
      </c>
      <c r="D519" s="7" t="str">
        <f t="shared" si="1"/>
        <v>North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8">
        <v>60230.0</v>
      </c>
      <c r="B520" s="29" t="s">
        <v>562</v>
      </c>
      <c r="C520" s="29" t="s">
        <v>574</v>
      </c>
      <c r="D520" s="7" t="str">
        <f t="shared" si="1"/>
        <v>North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8">
        <v>61000.0</v>
      </c>
      <c r="B521" s="29" t="s">
        <v>575</v>
      </c>
      <c r="C521" s="29" t="s">
        <v>576</v>
      </c>
      <c r="D521" s="7" t="str">
        <f t="shared" si="1"/>
        <v>North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8">
        <v>61110.0</v>
      </c>
      <c r="B522" s="29" t="s">
        <v>575</v>
      </c>
      <c r="C522" s="29" t="s">
        <v>577</v>
      </c>
      <c r="D522" s="7" t="str">
        <f t="shared" si="1"/>
        <v>North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8">
        <v>61120.0</v>
      </c>
      <c r="B523" s="29" t="s">
        <v>575</v>
      </c>
      <c r="C523" s="29" t="s">
        <v>578</v>
      </c>
      <c r="D523" s="7" t="str">
        <f t="shared" si="1"/>
        <v>North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8">
        <v>61130.0</v>
      </c>
      <c r="B524" s="29" t="s">
        <v>575</v>
      </c>
      <c r="C524" s="29" t="s">
        <v>579</v>
      </c>
      <c r="D524" s="7" t="str">
        <f t="shared" si="1"/>
        <v>North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8">
        <v>61140.0</v>
      </c>
      <c r="B525" s="29" t="s">
        <v>575</v>
      </c>
      <c r="C525" s="29" t="s">
        <v>580</v>
      </c>
      <c r="D525" s="7" t="str">
        <f t="shared" si="1"/>
        <v>North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8">
        <v>61150.0</v>
      </c>
      <c r="B526" s="29" t="s">
        <v>575</v>
      </c>
      <c r="C526" s="29" t="s">
        <v>581</v>
      </c>
      <c r="D526" s="7" t="str">
        <f t="shared" si="1"/>
        <v>North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8">
        <v>61160.0</v>
      </c>
      <c r="B527" s="29" t="s">
        <v>575</v>
      </c>
      <c r="C527" s="29" t="s">
        <v>582</v>
      </c>
      <c r="D527" s="7" t="str">
        <f t="shared" si="1"/>
        <v>North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8">
        <v>61170.0</v>
      </c>
      <c r="B528" s="29" t="s">
        <v>575</v>
      </c>
      <c r="C528" s="29" t="s">
        <v>583</v>
      </c>
      <c r="D528" s="7" t="str">
        <f t="shared" si="1"/>
        <v>North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8">
        <v>62000.0</v>
      </c>
      <c r="B529" s="29" t="s">
        <v>584</v>
      </c>
      <c r="C529" s="29" t="s">
        <v>585</v>
      </c>
      <c r="D529" s="7" t="str">
        <f t="shared" si="1"/>
        <v>North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8">
        <v>62110.0</v>
      </c>
      <c r="B530" s="29" t="s">
        <v>584</v>
      </c>
      <c r="C530" s="29" t="s">
        <v>586</v>
      </c>
      <c r="D530" s="7" t="str">
        <f t="shared" si="1"/>
        <v>North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8">
        <v>62120.0</v>
      </c>
      <c r="B531" s="29" t="s">
        <v>584</v>
      </c>
      <c r="C531" s="29" t="s">
        <v>587</v>
      </c>
      <c r="D531" s="7" t="str">
        <f t="shared" si="1"/>
        <v>North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8">
        <v>62130.0</v>
      </c>
      <c r="B532" s="29" t="s">
        <v>584</v>
      </c>
      <c r="C532" s="29" t="s">
        <v>588</v>
      </c>
      <c r="D532" s="7" t="str">
        <f t="shared" si="1"/>
        <v>North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8">
        <v>62150.0</v>
      </c>
      <c r="B533" s="29" t="s">
        <v>584</v>
      </c>
      <c r="C533" s="29" t="s">
        <v>589</v>
      </c>
      <c r="D533" s="7" t="str">
        <f t="shared" si="1"/>
        <v>North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8">
        <v>62170.0</v>
      </c>
      <c r="B534" s="29" t="s">
        <v>584</v>
      </c>
      <c r="C534" s="29" t="s">
        <v>590</v>
      </c>
      <c r="D534" s="7" t="str">
        <f t="shared" si="1"/>
        <v>North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8">
        <v>62180.0</v>
      </c>
      <c r="B535" s="29" t="s">
        <v>584</v>
      </c>
      <c r="C535" s="29" t="s">
        <v>591</v>
      </c>
      <c r="D535" s="7" t="str">
        <f t="shared" si="1"/>
        <v>North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8">
        <v>62190.0</v>
      </c>
      <c r="B536" s="29" t="s">
        <v>584</v>
      </c>
      <c r="C536" s="29" t="s">
        <v>592</v>
      </c>
      <c r="D536" s="7" t="str">
        <f t="shared" si="1"/>
        <v>North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8">
        <v>62210.0</v>
      </c>
      <c r="B537" s="29" t="s">
        <v>584</v>
      </c>
      <c r="C537" s="29" t="s">
        <v>593</v>
      </c>
      <c r="D537" s="7" t="str">
        <f t="shared" si="1"/>
        <v>North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8">
        <v>63000.0</v>
      </c>
      <c r="B538" s="29" t="s">
        <v>594</v>
      </c>
      <c r="C538" s="29" t="s">
        <v>595</v>
      </c>
      <c r="D538" s="7" t="str">
        <f t="shared" si="1"/>
        <v>North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8">
        <v>63110.0</v>
      </c>
      <c r="B539" s="29" t="s">
        <v>594</v>
      </c>
      <c r="C539" s="29" t="s">
        <v>596</v>
      </c>
      <c r="D539" s="7" t="str">
        <f t="shared" si="1"/>
        <v>North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8">
        <v>63120.0</v>
      </c>
      <c r="B540" s="29" t="s">
        <v>594</v>
      </c>
      <c r="C540" s="29" t="s">
        <v>597</v>
      </c>
      <c r="D540" s="7" t="str">
        <f t="shared" si="1"/>
        <v>North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8">
        <v>63130.0</v>
      </c>
      <c r="B541" s="29" t="s">
        <v>594</v>
      </c>
      <c r="C541" s="29" t="s">
        <v>598</v>
      </c>
      <c r="D541" s="7" t="str">
        <f t="shared" si="1"/>
        <v>North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8">
        <v>63140.0</v>
      </c>
      <c r="B542" s="29" t="s">
        <v>594</v>
      </c>
      <c r="C542" s="29" t="s">
        <v>599</v>
      </c>
      <c r="D542" s="7" t="str">
        <f t="shared" si="1"/>
        <v>North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8">
        <v>63150.0</v>
      </c>
      <c r="B543" s="29" t="s">
        <v>594</v>
      </c>
      <c r="C543" s="29" t="s">
        <v>600</v>
      </c>
      <c r="D543" s="7" t="str">
        <f t="shared" si="1"/>
        <v>North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8">
        <v>63160.0</v>
      </c>
      <c r="B544" s="29" t="s">
        <v>594</v>
      </c>
      <c r="C544" s="29" t="s">
        <v>601</v>
      </c>
      <c r="D544" s="7" t="str">
        <f t="shared" si="1"/>
        <v>North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8">
        <v>63170.0</v>
      </c>
      <c r="B545" s="29" t="s">
        <v>594</v>
      </c>
      <c r="C545" s="29" t="s">
        <v>602</v>
      </c>
      <c r="D545" s="7" t="str">
        <f t="shared" si="1"/>
        <v>North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8">
        <v>64000.0</v>
      </c>
      <c r="B546" s="29" t="s">
        <v>603</v>
      </c>
      <c r="C546" s="29" t="s">
        <v>604</v>
      </c>
      <c r="D546" s="7" t="str">
        <f t="shared" si="1"/>
        <v>North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8">
        <v>64110.0</v>
      </c>
      <c r="B547" s="29" t="s">
        <v>603</v>
      </c>
      <c r="C547" s="29" t="s">
        <v>605</v>
      </c>
      <c r="D547" s="7" t="str">
        <f t="shared" si="1"/>
        <v>North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8">
        <v>64120.0</v>
      </c>
      <c r="B548" s="29" t="s">
        <v>603</v>
      </c>
      <c r="C548" s="29" t="s">
        <v>606</v>
      </c>
      <c r="D548" s="7" t="str">
        <f t="shared" si="1"/>
        <v>North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8">
        <v>64130.0</v>
      </c>
      <c r="B549" s="29" t="s">
        <v>603</v>
      </c>
      <c r="C549" s="29" t="s">
        <v>607</v>
      </c>
      <c r="D549" s="7" t="str">
        <f t="shared" si="1"/>
        <v>North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8">
        <v>64140.0</v>
      </c>
      <c r="B550" s="29" t="s">
        <v>603</v>
      </c>
      <c r="C550" s="29" t="s">
        <v>608</v>
      </c>
      <c r="D550" s="7" t="str">
        <f t="shared" si="1"/>
        <v>North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8">
        <v>64150.0</v>
      </c>
      <c r="B551" s="29" t="s">
        <v>603</v>
      </c>
      <c r="C551" s="29" t="s">
        <v>609</v>
      </c>
      <c r="D551" s="7" t="str">
        <f t="shared" si="1"/>
        <v>North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8">
        <v>64160.0</v>
      </c>
      <c r="B552" s="29" t="s">
        <v>603</v>
      </c>
      <c r="C552" s="29" t="s">
        <v>610</v>
      </c>
      <c r="D552" s="7" t="str">
        <f t="shared" si="1"/>
        <v>North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8">
        <v>64170.0</v>
      </c>
      <c r="B553" s="29" t="s">
        <v>603</v>
      </c>
      <c r="C553" s="29" t="s">
        <v>611</v>
      </c>
      <c r="D553" s="7" t="str">
        <f t="shared" si="1"/>
        <v>North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8">
        <v>64180.0</v>
      </c>
      <c r="B554" s="29" t="s">
        <v>603</v>
      </c>
      <c r="C554" s="29" t="s">
        <v>612</v>
      </c>
      <c r="D554" s="7" t="str">
        <f t="shared" si="1"/>
        <v>North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8">
        <v>65000.0</v>
      </c>
      <c r="B555" s="29" t="s">
        <v>613</v>
      </c>
      <c r="C555" s="29" t="s">
        <v>614</v>
      </c>
      <c r="D555" s="7" t="str">
        <f t="shared" si="1"/>
        <v>North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8">
        <v>65110.0</v>
      </c>
      <c r="B556" s="29" t="s">
        <v>613</v>
      </c>
      <c r="C556" s="29" t="s">
        <v>615</v>
      </c>
      <c r="D556" s="7" t="str">
        <f t="shared" si="1"/>
        <v>North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8">
        <v>65120.0</v>
      </c>
      <c r="B557" s="29" t="s">
        <v>613</v>
      </c>
      <c r="C557" s="29" t="s">
        <v>616</v>
      </c>
      <c r="D557" s="7" t="str">
        <f t="shared" si="1"/>
        <v>North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8">
        <v>65130.0</v>
      </c>
      <c r="B558" s="29" t="s">
        <v>613</v>
      </c>
      <c r="C558" s="29" t="s">
        <v>617</v>
      </c>
      <c r="D558" s="7" t="str">
        <f t="shared" si="1"/>
        <v>North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8">
        <v>65140.0</v>
      </c>
      <c r="B559" s="29" t="s">
        <v>613</v>
      </c>
      <c r="C559" s="29" t="s">
        <v>618</v>
      </c>
      <c r="D559" s="7" t="str">
        <f t="shared" si="1"/>
        <v>North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8">
        <v>65150.0</v>
      </c>
      <c r="B560" s="29" t="s">
        <v>613</v>
      </c>
      <c r="C560" s="29" t="s">
        <v>619</v>
      </c>
      <c r="D560" s="7" t="str">
        <f t="shared" si="1"/>
        <v>North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8">
        <v>65160.0</v>
      </c>
      <c r="B561" s="29" t="s">
        <v>613</v>
      </c>
      <c r="C561" s="29" t="s">
        <v>620</v>
      </c>
      <c r="D561" s="7" t="str">
        <f t="shared" si="1"/>
        <v>North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8">
        <v>65170.0</v>
      </c>
      <c r="B562" s="29" t="s">
        <v>613</v>
      </c>
      <c r="C562" s="29" t="s">
        <v>621</v>
      </c>
      <c r="D562" s="7" t="str">
        <f t="shared" si="1"/>
        <v>North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8">
        <v>65190.0</v>
      </c>
      <c r="B563" s="29" t="s">
        <v>613</v>
      </c>
      <c r="C563" s="29" t="s">
        <v>622</v>
      </c>
      <c r="D563" s="7" t="str">
        <f t="shared" si="1"/>
        <v>North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8">
        <v>66000.0</v>
      </c>
      <c r="B564" s="29" t="s">
        <v>623</v>
      </c>
      <c r="C564" s="29" t="s">
        <v>624</v>
      </c>
      <c r="D564" s="7" t="str">
        <f t="shared" si="1"/>
        <v>North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8">
        <v>66110.0</v>
      </c>
      <c r="B565" s="29" t="s">
        <v>623</v>
      </c>
      <c r="C565" s="29" t="s">
        <v>625</v>
      </c>
      <c r="D565" s="7" t="str">
        <f t="shared" si="1"/>
        <v>North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8">
        <v>66120.0</v>
      </c>
      <c r="B566" s="29" t="s">
        <v>623</v>
      </c>
      <c r="C566" s="29" t="s">
        <v>626</v>
      </c>
      <c r="D566" s="7" t="str">
        <f t="shared" si="1"/>
        <v>North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8">
        <v>66130.0</v>
      </c>
      <c r="B567" s="29" t="s">
        <v>623</v>
      </c>
      <c r="C567" s="29" t="s">
        <v>627</v>
      </c>
      <c r="D567" s="7" t="str">
        <f t="shared" si="1"/>
        <v>North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8">
        <v>66140.0</v>
      </c>
      <c r="B568" s="29" t="s">
        <v>623</v>
      </c>
      <c r="C568" s="29" t="s">
        <v>628</v>
      </c>
      <c r="D568" s="7" t="str">
        <f t="shared" si="1"/>
        <v>North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8">
        <v>66150.0</v>
      </c>
      <c r="B569" s="29" t="s">
        <v>623</v>
      </c>
      <c r="C569" s="29" t="s">
        <v>629</v>
      </c>
      <c r="D569" s="7" t="str">
        <f t="shared" si="1"/>
        <v>North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8">
        <v>66160.0</v>
      </c>
      <c r="B570" s="29" t="s">
        <v>623</v>
      </c>
      <c r="C570" s="29" t="s">
        <v>630</v>
      </c>
      <c r="D570" s="7" t="str">
        <f t="shared" si="1"/>
        <v>North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8">
        <v>66180.0</v>
      </c>
      <c r="B571" s="29" t="s">
        <v>623</v>
      </c>
      <c r="C571" s="29" t="s">
        <v>631</v>
      </c>
      <c r="D571" s="7" t="str">
        <f t="shared" si="1"/>
        <v>North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8">
        <v>66190.0</v>
      </c>
      <c r="B572" s="29" t="s">
        <v>623</v>
      </c>
      <c r="C572" s="29" t="s">
        <v>632</v>
      </c>
      <c r="D572" s="7" t="str">
        <f t="shared" si="1"/>
        <v>North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8">
        <v>66210.0</v>
      </c>
      <c r="B573" s="29" t="s">
        <v>623</v>
      </c>
      <c r="C573" s="29" t="s">
        <v>633</v>
      </c>
      <c r="D573" s="7" t="str">
        <f t="shared" si="1"/>
        <v>North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8">
        <v>67000.0</v>
      </c>
      <c r="B574" s="29" t="s">
        <v>634</v>
      </c>
      <c r="C574" s="29" t="s">
        <v>635</v>
      </c>
      <c r="D574" s="7" t="str">
        <f t="shared" si="1"/>
        <v>North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8">
        <v>67110.0</v>
      </c>
      <c r="B575" s="29" t="s">
        <v>634</v>
      </c>
      <c r="C575" s="29" t="s">
        <v>636</v>
      </c>
      <c r="D575" s="7" t="str">
        <f t="shared" si="1"/>
        <v>North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8">
        <v>67120.0</v>
      </c>
      <c r="B576" s="29" t="s">
        <v>634</v>
      </c>
      <c r="C576" s="29" t="s">
        <v>637</v>
      </c>
      <c r="D576" s="7" t="str">
        <f t="shared" si="1"/>
        <v>North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8">
        <v>67130.0</v>
      </c>
      <c r="B577" s="29" t="s">
        <v>634</v>
      </c>
      <c r="C577" s="29" t="s">
        <v>638</v>
      </c>
      <c r="D577" s="7" t="str">
        <f t="shared" si="1"/>
        <v>North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8">
        <v>67140.0</v>
      </c>
      <c r="B578" s="29" t="s">
        <v>634</v>
      </c>
      <c r="C578" s="29" t="s">
        <v>639</v>
      </c>
      <c r="D578" s="7" t="str">
        <f t="shared" si="1"/>
        <v>North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8">
        <v>67150.0</v>
      </c>
      <c r="B579" s="29" t="s">
        <v>634</v>
      </c>
      <c r="C579" s="29" t="s">
        <v>640</v>
      </c>
      <c r="D579" s="7" t="str">
        <f t="shared" si="1"/>
        <v>North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8">
        <v>67160.0</v>
      </c>
      <c r="B580" s="29" t="s">
        <v>634</v>
      </c>
      <c r="C580" s="29" t="s">
        <v>641</v>
      </c>
      <c r="D580" s="7" t="str">
        <f t="shared" si="1"/>
        <v>North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8">
        <v>67170.0</v>
      </c>
      <c r="B581" s="29" t="s">
        <v>634</v>
      </c>
      <c r="C581" s="29" t="s">
        <v>642</v>
      </c>
      <c r="D581" s="7" t="str">
        <f t="shared" si="1"/>
        <v>North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8">
        <v>67240.0</v>
      </c>
      <c r="B582" s="29" t="s">
        <v>634</v>
      </c>
      <c r="C582" s="29" t="s">
        <v>643</v>
      </c>
      <c r="D582" s="7" t="str">
        <f t="shared" si="1"/>
        <v>North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8">
        <v>67260.0</v>
      </c>
      <c r="B583" s="29" t="s">
        <v>634</v>
      </c>
      <c r="C583" s="29" t="s">
        <v>644</v>
      </c>
      <c r="D583" s="7" t="str">
        <f t="shared" si="1"/>
        <v>North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8">
        <v>67270.0</v>
      </c>
      <c r="B584" s="29" t="s">
        <v>634</v>
      </c>
      <c r="C584" s="29" t="s">
        <v>645</v>
      </c>
      <c r="D584" s="7" t="str">
        <f t="shared" si="1"/>
        <v>North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8">
        <v>70000.0</v>
      </c>
      <c r="B585" s="29" t="s">
        <v>646</v>
      </c>
      <c r="C585" s="29" t="s">
        <v>647</v>
      </c>
      <c r="D585" s="7" t="str">
        <f t="shared" si="1"/>
        <v>West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8">
        <v>70110.0</v>
      </c>
      <c r="B586" s="29" t="s">
        <v>646</v>
      </c>
      <c r="C586" s="29" t="s">
        <v>648</v>
      </c>
      <c r="D586" s="7" t="str">
        <f t="shared" si="1"/>
        <v>West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8">
        <v>70120.0</v>
      </c>
      <c r="B587" s="29" t="s">
        <v>646</v>
      </c>
      <c r="C587" s="29" t="s">
        <v>649</v>
      </c>
      <c r="D587" s="7" t="str">
        <f t="shared" si="1"/>
        <v>West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8">
        <v>70130.0</v>
      </c>
      <c r="B588" s="29" t="s">
        <v>646</v>
      </c>
      <c r="C588" s="29" t="s">
        <v>650</v>
      </c>
      <c r="D588" s="7" t="str">
        <f t="shared" si="1"/>
        <v>West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8">
        <v>70140.0</v>
      </c>
      <c r="B589" s="29" t="s">
        <v>646</v>
      </c>
      <c r="C589" s="29" t="s">
        <v>651</v>
      </c>
      <c r="D589" s="7" t="str">
        <f t="shared" si="1"/>
        <v>West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8">
        <v>70150.0</v>
      </c>
      <c r="B590" s="29" t="s">
        <v>646</v>
      </c>
      <c r="C590" s="29" t="s">
        <v>652</v>
      </c>
      <c r="D590" s="7" t="str">
        <f t="shared" si="1"/>
        <v>West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8">
        <v>70160.0</v>
      </c>
      <c r="B591" s="29" t="s">
        <v>646</v>
      </c>
      <c r="C591" s="29" t="s">
        <v>653</v>
      </c>
      <c r="D591" s="7" t="str">
        <f t="shared" si="1"/>
        <v>West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8">
        <v>70170.0</v>
      </c>
      <c r="B592" s="29" t="s">
        <v>646</v>
      </c>
      <c r="C592" s="29" t="s">
        <v>654</v>
      </c>
      <c r="D592" s="7" t="str">
        <f t="shared" si="1"/>
        <v>West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8">
        <v>70180.0</v>
      </c>
      <c r="B593" s="29" t="s">
        <v>646</v>
      </c>
      <c r="C593" s="29" t="s">
        <v>655</v>
      </c>
      <c r="D593" s="7" t="str">
        <f t="shared" si="1"/>
        <v>West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8">
        <v>71000.0</v>
      </c>
      <c r="B594" s="29" t="s">
        <v>656</v>
      </c>
      <c r="C594" s="29" t="s">
        <v>657</v>
      </c>
      <c r="D594" s="7" t="str">
        <f t="shared" si="1"/>
        <v>West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8">
        <v>71110.0</v>
      </c>
      <c r="B595" s="29" t="s">
        <v>656</v>
      </c>
      <c r="C595" s="29" t="s">
        <v>658</v>
      </c>
      <c r="D595" s="7" t="str">
        <f t="shared" si="1"/>
        <v>West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8">
        <v>71120.0</v>
      </c>
      <c r="B596" s="29" t="s">
        <v>656</v>
      </c>
      <c r="C596" s="29" t="s">
        <v>659</v>
      </c>
      <c r="D596" s="7" t="str">
        <f t="shared" si="1"/>
        <v>West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8">
        <v>71140.0</v>
      </c>
      <c r="B597" s="29" t="s">
        <v>656</v>
      </c>
      <c r="C597" s="29" t="s">
        <v>660</v>
      </c>
      <c r="D597" s="7" t="str">
        <f t="shared" si="1"/>
        <v>West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8">
        <v>71150.0</v>
      </c>
      <c r="B598" s="29" t="s">
        <v>656</v>
      </c>
      <c r="C598" s="29" t="s">
        <v>661</v>
      </c>
      <c r="D598" s="7" t="str">
        <f t="shared" si="1"/>
        <v>West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8">
        <v>71160.0</v>
      </c>
      <c r="B599" s="29" t="s">
        <v>656</v>
      </c>
      <c r="C599" s="29" t="s">
        <v>662</v>
      </c>
      <c r="D599" s="7" t="str">
        <f t="shared" si="1"/>
        <v>West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8">
        <v>71170.0</v>
      </c>
      <c r="B600" s="29" t="s">
        <v>656</v>
      </c>
      <c r="C600" s="29" t="s">
        <v>663</v>
      </c>
      <c r="D600" s="7" t="str">
        <f t="shared" si="1"/>
        <v>West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8">
        <v>71180.0</v>
      </c>
      <c r="B601" s="29" t="s">
        <v>656</v>
      </c>
      <c r="C601" s="29" t="s">
        <v>664</v>
      </c>
      <c r="D601" s="7" t="str">
        <f t="shared" si="1"/>
        <v>West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8">
        <v>71210.0</v>
      </c>
      <c r="B602" s="29" t="s">
        <v>656</v>
      </c>
      <c r="C602" s="29" t="s">
        <v>665</v>
      </c>
      <c r="D602" s="7" t="str">
        <f t="shared" si="1"/>
        <v>West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8">
        <v>71220.0</v>
      </c>
      <c r="B603" s="29" t="s">
        <v>656</v>
      </c>
      <c r="C603" s="29" t="s">
        <v>666</v>
      </c>
      <c r="D603" s="7" t="str">
        <f t="shared" si="1"/>
        <v>West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8">
        <v>71240.0</v>
      </c>
      <c r="B604" s="29" t="s">
        <v>656</v>
      </c>
      <c r="C604" s="29" t="s">
        <v>667</v>
      </c>
      <c r="D604" s="7" t="str">
        <f t="shared" si="1"/>
        <v>West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8">
        <v>71250.0</v>
      </c>
      <c r="B605" s="29" t="s">
        <v>656</v>
      </c>
      <c r="C605" s="29" t="s">
        <v>668</v>
      </c>
      <c r="D605" s="7" t="str">
        <f t="shared" si="1"/>
        <v>West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8">
        <v>71260.0</v>
      </c>
      <c r="B606" s="29" t="s">
        <v>656</v>
      </c>
      <c r="C606" s="29" t="s">
        <v>669</v>
      </c>
      <c r="D606" s="7" t="str">
        <f t="shared" si="1"/>
        <v>West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8">
        <v>72000.0</v>
      </c>
      <c r="B607" s="29" t="s">
        <v>670</v>
      </c>
      <c r="C607" s="29" t="s">
        <v>671</v>
      </c>
      <c r="D607" s="7" t="str">
        <f t="shared" si="1"/>
        <v>West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8">
        <v>72110.0</v>
      </c>
      <c r="B608" s="29" t="s">
        <v>670</v>
      </c>
      <c r="C608" s="29" t="s">
        <v>672</v>
      </c>
      <c r="D608" s="7" t="str">
        <f t="shared" si="1"/>
        <v>West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8">
        <v>72120.0</v>
      </c>
      <c r="B609" s="29" t="s">
        <v>670</v>
      </c>
      <c r="C609" s="29" t="s">
        <v>673</v>
      </c>
      <c r="D609" s="7" t="str">
        <f t="shared" si="1"/>
        <v>West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8">
        <v>72130.0</v>
      </c>
      <c r="B610" s="29" t="s">
        <v>670</v>
      </c>
      <c r="C610" s="29" t="s">
        <v>674</v>
      </c>
      <c r="D610" s="7" t="str">
        <f t="shared" si="1"/>
        <v>West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8">
        <v>72140.0</v>
      </c>
      <c r="B611" s="29" t="s">
        <v>670</v>
      </c>
      <c r="C611" s="29" t="s">
        <v>675</v>
      </c>
      <c r="D611" s="7" t="str">
        <f t="shared" si="1"/>
        <v>West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8">
        <v>72150.0</v>
      </c>
      <c r="B612" s="29" t="s">
        <v>670</v>
      </c>
      <c r="C612" s="29" t="s">
        <v>676</v>
      </c>
      <c r="D612" s="7" t="str">
        <f t="shared" si="1"/>
        <v>West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8">
        <v>72160.0</v>
      </c>
      <c r="B613" s="29" t="s">
        <v>670</v>
      </c>
      <c r="C613" s="29" t="s">
        <v>677</v>
      </c>
      <c r="D613" s="7" t="str">
        <f t="shared" si="1"/>
        <v>West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8">
        <v>72170.0</v>
      </c>
      <c r="B614" s="29" t="s">
        <v>670</v>
      </c>
      <c r="C614" s="29" t="s">
        <v>678</v>
      </c>
      <c r="D614" s="7" t="str">
        <f t="shared" si="1"/>
        <v>West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8">
        <v>72180.0</v>
      </c>
      <c r="B615" s="29" t="s">
        <v>670</v>
      </c>
      <c r="C615" s="29" t="s">
        <v>679</v>
      </c>
      <c r="D615" s="7" t="str">
        <f t="shared" si="1"/>
        <v>West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8">
        <v>72240.0</v>
      </c>
      <c r="B616" s="29" t="s">
        <v>670</v>
      </c>
      <c r="C616" s="29" t="s">
        <v>680</v>
      </c>
      <c r="D616" s="7" t="str">
        <f t="shared" si="1"/>
        <v>West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8">
        <v>73000.0</v>
      </c>
      <c r="B617" s="29" t="s">
        <v>681</v>
      </c>
      <c r="C617" s="29" t="s">
        <v>682</v>
      </c>
      <c r="D617" s="7" t="str">
        <f t="shared" si="1"/>
        <v>West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8">
        <v>73110.0</v>
      </c>
      <c r="B618" s="29" t="s">
        <v>681</v>
      </c>
      <c r="C618" s="29" t="s">
        <v>683</v>
      </c>
      <c r="D618" s="7" t="str">
        <f t="shared" si="1"/>
        <v>West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8">
        <v>73120.0</v>
      </c>
      <c r="B619" s="29" t="s">
        <v>681</v>
      </c>
      <c r="C619" s="29" t="s">
        <v>684</v>
      </c>
      <c r="D619" s="7" t="str">
        <f t="shared" si="1"/>
        <v>West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8">
        <v>73130.0</v>
      </c>
      <c r="B620" s="29" t="s">
        <v>681</v>
      </c>
      <c r="C620" s="29" t="s">
        <v>685</v>
      </c>
      <c r="D620" s="7" t="str">
        <f t="shared" si="1"/>
        <v>West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8">
        <v>73140.0</v>
      </c>
      <c r="B621" s="29" t="s">
        <v>681</v>
      </c>
      <c r="C621" s="29" t="s">
        <v>686</v>
      </c>
      <c r="D621" s="7" t="str">
        <f t="shared" si="1"/>
        <v>West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8">
        <v>73150.0</v>
      </c>
      <c r="B622" s="29" t="s">
        <v>681</v>
      </c>
      <c r="C622" s="29" t="s">
        <v>687</v>
      </c>
      <c r="D622" s="7" t="str">
        <f t="shared" si="1"/>
        <v>West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8">
        <v>73170.0</v>
      </c>
      <c r="B623" s="29" t="s">
        <v>681</v>
      </c>
      <c r="C623" s="29" t="s">
        <v>688</v>
      </c>
      <c r="D623" s="7" t="str">
        <f t="shared" si="1"/>
        <v>West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8">
        <v>74000.0</v>
      </c>
      <c r="B624" s="29" t="s">
        <v>689</v>
      </c>
      <c r="C624" s="29" t="s">
        <v>690</v>
      </c>
      <c r="D624" s="7" t="str">
        <f t="shared" si="1"/>
        <v>West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8">
        <v>74110.0</v>
      </c>
      <c r="B625" s="29" t="s">
        <v>689</v>
      </c>
      <c r="C625" s="29" t="s">
        <v>691</v>
      </c>
      <c r="D625" s="7" t="str">
        <f t="shared" si="1"/>
        <v>West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8">
        <v>74120.0</v>
      </c>
      <c r="B626" s="29" t="s">
        <v>689</v>
      </c>
      <c r="C626" s="29" t="s">
        <v>692</v>
      </c>
      <c r="D626" s="7" t="str">
        <f t="shared" si="1"/>
        <v>West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8">
        <v>75000.0</v>
      </c>
      <c r="B627" s="29" t="s">
        <v>693</v>
      </c>
      <c r="C627" s="29" t="s">
        <v>694</v>
      </c>
      <c r="D627" s="7" t="str">
        <f t="shared" si="1"/>
        <v>West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8">
        <v>75110.0</v>
      </c>
      <c r="B628" s="29" t="s">
        <v>693</v>
      </c>
      <c r="C628" s="29" t="s">
        <v>695</v>
      </c>
      <c r="D628" s="7" t="str">
        <f t="shared" si="1"/>
        <v>West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8">
        <v>75120.0</v>
      </c>
      <c r="B629" s="29" t="s">
        <v>693</v>
      </c>
      <c r="C629" s="29" t="s">
        <v>696</v>
      </c>
      <c r="D629" s="7" t="str">
        <f t="shared" si="1"/>
        <v>West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8">
        <v>76000.0</v>
      </c>
      <c r="B630" s="29" t="s">
        <v>697</v>
      </c>
      <c r="C630" s="29" t="s">
        <v>698</v>
      </c>
      <c r="D630" s="7" t="str">
        <f t="shared" si="1"/>
        <v>West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8">
        <v>76110.0</v>
      </c>
      <c r="B631" s="29" t="s">
        <v>697</v>
      </c>
      <c r="C631" s="29" t="s">
        <v>699</v>
      </c>
      <c r="D631" s="7" t="str">
        <f t="shared" si="1"/>
        <v>West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8">
        <v>76120.0</v>
      </c>
      <c r="B632" s="29" t="s">
        <v>697</v>
      </c>
      <c r="C632" s="29" t="s">
        <v>700</v>
      </c>
      <c r="D632" s="7" t="str">
        <f t="shared" si="1"/>
        <v>West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8">
        <v>76130.0</v>
      </c>
      <c r="B633" s="29" t="s">
        <v>697</v>
      </c>
      <c r="C633" s="29" t="s">
        <v>701</v>
      </c>
      <c r="D633" s="7" t="str">
        <f t="shared" si="1"/>
        <v>West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8">
        <v>76140.0</v>
      </c>
      <c r="B634" s="29" t="s">
        <v>697</v>
      </c>
      <c r="C634" s="29" t="s">
        <v>702</v>
      </c>
      <c r="D634" s="7" t="str">
        <f t="shared" si="1"/>
        <v>West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8">
        <v>76150.0</v>
      </c>
      <c r="B635" s="29" t="s">
        <v>697</v>
      </c>
      <c r="C635" s="29" t="s">
        <v>703</v>
      </c>
      <c r="D635" s="7" t="str">
        <f t="shared" si="1"/>
        <v>West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8">
        <v>76160.0</v>
      </c>
      <c r="B636" s="29" t="s">
        <v>697</v>
      </c>
      <c r="C636" s="29" t="s">
        <v>704</v>
      </c>
      <c r="D636" s="7" t="str">
        <f t="shared" si="1"/>
        <v>West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8">
        <v>76170.0</v>
      </c>
      <c r="B637" s="29" t="s">
        <v>697</v>
      </c>
      <c r="C637" s="29" t="s">
        <v>705</v>
      </c>
      <c r="D637" s="7" t="str">
        <f t="shared" si="1"/>
        <v>West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8">
        <v>77000.0</v>
      </c>
      <c r="B638" s="29" t="s">
        <v>706</v>
      </c>
      <c r="C638" s="29" t="s">
        <v>707</v>
      </c>
      <c r="D638" s="7" t="str">
        <f t="shared" si="1"/>
        <v>West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8">
        <v>77110.0</v>
      </c>
      <c r="B639" s="29" t="s">
        <v>706</v>
      </c>
      <c r="C639" s="29" t="s">
        <v>708</v>
      </c>
      <c r="D639" s="7" t="str">
        <f t="shared" si="1"/>
        <v>West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8">
        <v>77120.0</v>
      </c>
      <c r="B640" s="29" t="s">
        <v>706</v>
      </c>
      <c r="C640" s="29" t="s">
        <v>709</v>
      </c>
      <c r="D640" s="7" t="str">
        <f t="shared" si="1"/>
        <v>West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8">
        <v>77130.0</v>
      </c>
      <c r="B641" s="29" t="s">
        <v>706</v>
      </c>
      <c r="C641" s="29" t="s">
        <v>710</v>
      </c>
      <c r="D641" s="7" t="str">
        <f t="shared" si="1"/>
        <v>West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8">
        <v>77140.0</v>
      </c>
      <c r="B642" s="29" t="s">
        <v>706</v>
      </c>
      <c r="C642" s="29" t="s">
        <v>711</v>
      </c>
      <c r="D642" s="7" t="str">
        <f t="shared" si="1"/>
        <v>West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8">
        <v>77150.0</v>
      </c>
      <c r="B643" s="29" t="s">
        <v>706</v>
      </c>
      <c r="C643" s="29" t="s">
        <v>712</v>
      </c>
      <c r="D643" s="7" t="str">
        <f t="shared" si="1"/>
        <v>West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8">
        <v>77170.0</v>
      </c>
      <c r="B644" s="29" t="s">
        <v>706</v>
      </c>
      <c r="C644" s="29" t="s">
        <v>713</v>
      </c>
      <c r="D644" s="7" t="str">
        <f t="shared" si="1"/>
        <v>West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8">
        <v>77180.0</v>
      </c>
      <c r="B645" s="29" t="s">
        <v>706</v>
      </c>
      <c r="C645" s="29" t="s">
        <v>714</v>
      </c>
      <c r="D645" s="7" t="str">
        <f t="shared" si="1"/>
        <v>West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8">
        <v>80000.0</v>
      </c>
      <c r="B646" s="29" t="s">
        <v>715</v>
      </c>
      <c r="C646" s="29" t="s">
        <v>716</v>
      </c>
      <c r="D646" s="7" t="str">
        <f t="shared" si="1"/>
        <v>South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8">
        <v>80110.0</v>
      </c>
      <c r="B647" s="29" t="s">
        <v>715</v>
      </c>
      <c r="C647" s="29" t="s">
        <v>717</v>
      </c>
      <c r="D647" s="7" t="str">
        <f t="shared" si="1"/>
        <v>South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8">
        <v>80120.0</v>
      </c>
      <c r="B648" s="29" t="s">
        <v>715</v>
      </c>
      <c r="C648" s="29" t="s">
        <v>718</v>
      </c>
      <c r="D648" s="7" t="str">
        <f t="shared" si="1"/>
        <v>South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8">
        <v>80130.0</v>
      </c>
      <c r="B649" s="29" t="s">
        <v>715</v>
      </c>
      <c r="C649" s="29" t="s">
        <v>719</v>
      </c>
      <c r="D649" s="7" t="str">
        <f t="shared" si="1"/>
        <v>South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8">
        <v>80140.0</v>
      </c>
      <c r="B650" s="29" t="s">
        <v>715</v>
      </c>
      <c r="C650" s="29" t="s">
        <v>720</v>
      </c>
      <c r="D650" s="7" t="str">
        <f t="shared" si="1"/>
        <v>South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8">
        <v>80150.0</v>
      </c>
      <c r="B651" s="29" t="s">
        <v>715</v>
      </c>
      <c r="C651" s="29" t="s">
        <v>721</v>
      </c>
      <c r="D651" s="7" t="str">
        <f t="shared" si="1"/>
        <v>South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8">
        <v>80160.0</v>
      </c>
      <c r="B652" s="29" t="s">
        <v>715</v>
      </c>
      <c r="C652" s="29" t="s">
        <v>722</v>
      </c>
      <c r="D652" s="7" t="str">
        <f t="shared" si="1"/>
        <v>South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8">
        <v>80170.0</v>
      </c>
      <c r="B653" s="29" t="s">
        <v>715</v>
      </c>
      <c r="C653" s="29" t="s">
        <v>723</v>
      </c>
      <c r="D653" s="7" t="str">
        <f t="shared" si="1"/>
        <v>South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8">
        <v>80180.0</v>
      </c>
      <c r="B654" s="29" t="s">
        <v>715</v>
      </c>
      <c r="C654" s="29" t="s">
        <v>724</v>
      </c>
      <c r="D654" s="7" t="str">
        <f t="shared" si="1"/>
        <v>South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8">
        <v>80190.0</v>
      </c>
      <c r="B655" s="29" t="s">
        <v>715</v>
      </c>
      <c r="C655" s="29" t="s">
        <v>725</v>
      </c>
      <c r="D655" s="7" t="str">
        <f t="shared" si="1"/>
        <v>South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8">
        <v>80210.0</v>
      </c>
      <c r="B656" s="29" t="s">
        <v>715</v>
      </c>
      <c r="C656" s="29" t="s">
        <v>726</v>
      </c>
      <c r="D656" s="7" t="str">
        <f t="shared" si="1"/>
        <v>South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8">
        <v>80220.0</v>
      </c>
      <c r="B657" s="29" t="s">
        <v>715</v>
      </c>
      <c r="C657" s="29" t="s">
        <v>727</v>
      </c>
      <c r="D657" s="7" t="str">
        <f t="shared" si="1"/>
        <v>South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8">
        <v>80230.0</v>
      </c>
      <c r="B658" s="29" t="s">
        <v>715</v>
      </c>
      <c r="C658" s="29" t="s">
        <v>728</v>
      </c>
      <c r="D658" s="7" t="str">
        <f t="shared" si="1"/>
        <v>South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8">
        <v>80240.0</v>
      </c>
      <c r="B659" s="29" t="s">
        <v>715</v>
      </c>
      <c r="C659" s="29" t="s">
        <v>729</v>
      </c>
      <c r="D659" s="7" t="str">
        <f t="shared" si="1"/>
        <v>South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8">
        <v>80250.0</v>
      </c>
      <c r="B660" s="29" t="s">
        <v>715</v>
      </c>
      <c r="C660" s="29" t="s">
        <v>730</v>
      </c>
      <c r="D660" s="7" t="str">
        <f t="shared" si="1"/>
        <v>South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8">
        <v>80260.0</v>
      </c>
      <c r="B661" s="29" t="s">
        <v>715</v>
      </c>
      <c r="C661" s="29" t="s">
        <v>731</v>
      </c>
      <c r="D661" s="7" t="str">
        <f t="shared" si="1"/>
        <v>South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8">
        <v>80270.0</v>
      </c>
      <c r="B662" s="29" t="s">
        <v>715</v>
      </c>
      <c r="C662" s="29" t="s">
        <v>732</v>
      </c>
      <c r="D662" s="7" t="str">
        <f t="shared" si="1"/>
        <v>South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8">
        <v>80320.0</v>
      </c>
      <c r="B663" s="29" t="s">
        <v>715</v>
      </c>
      <c r="C663" s="29" t="s">
        <v>733</v>
      </c>
      <c r="D663" s="7" t="str">
        <f t="shared" si="1"/>
        <v>South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8">
        <v>80360.0</v>
      </c>
      <c r="B664" s="29" t="s">
        <v>715</v>
      </c>
      <c r="C664" s="29" t="s">
        <v>734</v>
      </c>
      <c r="D664" s="7" t="str">
        <f t="shared" si="1"/>
        <v>South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8">
        <v>81000.0</v>
      </c>
      <c r="B665" s="29" t="s">
        <v>735</v>
      </c>
      <c r="C665" s="29" t="s">
        <v>736</v>
      </c>
      <c r="D665" s="7" t="str">
        <f t="shared" si="1"/>
        <v>South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8">
        <v>81110.0</v>
      </c>
      <c r="B666" s="29" t="s">
        <v>735</v>
      </c>
      <c r="C666" s="29" t="s">
        <v>737</v>
      </c>
      <c r="D666" s="7" t="str">
        <f t="shared" si="1"/>
        <v>South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8">
        <v>81120.0</v>
      </c>
      <c r="B667" s="29" t="s">
        <v>735</v>
      </c>
      <c r="C667" s="29" t="s">
        <v>738</v>
      </c>
      <c r="D667" s="7" t="str">
        <f t="shared" si="1"/>
        <v>South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8">
        <v>81130.0</v>
      </c>
      <c r="B668" s="29" t="s">
        <v>735</v>
      </c>
      <c r="C668" s="29" t="s">
        <v>739</v>
      </c>
      <c r="D668" s="7" t="str">
        <f t="shared" si="1"/>
        <v>South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8">
        <v>81140.0</v>
      </c>
      <c r="B669" s="29" t="s">
        <v>735</v>
      </c>
      <c r="C669" s="29" t="s">
        <v>740</v>
      </c>
      <c r="D669" s="7" t="str">
        <f t="shared" si="1"/>
        <v>South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8">
        <v>81150.0</v>
      </c>
      <c r="B670" s="29" t="s">
        <v>735</v>
      </c>
      <c r="C670" s="29" t="s">
        <v>741</v>
      </c>
      <c r="D670" s="7" t="str">
        <f t="shared" si="1"/>
        <v>South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8">
        <v>81160.0</v>
      </c>
      <c r="B671" s="29" t="s">
        <v>735</v>
      </c>
      <c r="C671" s="29" t="s">
        <v>742</v>
      </c>
      <c r="D671" s="7" t="str">
        <f t="shared" si="1"/>
        <v>South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8">
        <v>82000.0</v>
      </c>
      <c r="B672" s="29" t="s">
        <v>743</v>
      </c>
      <c r="C672" s="29" t="s">
        <v>744</v>
      </c>
      <c r="D672" s="7" t="str">
        <f t="shared" si="1"/>
        <v>South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8">
        <v>82110.0</v>
      </c>
      <c r="B673" s="29" t="s">
        <v>743</v>
      </c>
      <c r="C673" s="29" t="s">
        <v>745</v>
      </c>
      <c r="D673" s="7" t="str">
        <f t="shared" si="1"/>
        <v>South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8">
        <v>82120.0</v>
      </c>
      <c r="B674" s="29" t="s">
        <v>743</v>
      </c>
      <c r="C674" s="29" t="s">
        <v>746</v>
      </c>
      <c r="D674" s="7" t="str">
        <f t="shared" si="1"/>
        <v>South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8">
        <v>82130.0</v>
      </c>
      <c r="B675" s="29" t="s">
        <v>743</v>
      </c>
      <c r="C675" s="29" t="s">
        <v>747</v>
      </c>
      <c r="D675" s="7" t="str">
        <f t="shared" si="1"/>
        <v>South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8">
        <v>82150.0</v>
      </c>
      <c r="B676" s="29" t="s">
        <v>743</v>
      </c>
      <c r="C676" s="29" t="s">
        <v>748</v>
      </c>
      <c r="D676" s="7" t="str">
        <f t="shared" si="1"/>
        <v>South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8">
        <v>82160.0</v>
      </c>
      <c r="B677" s="29" t="s">
        <v>743</v>
      </c>
      <c r="C677" s="29" t="s">
        <v>749</v>
      </c>
      <c r="D677" s="7" t="str">
        <f t="shared" si="1"/>
        <v>South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8">
        <v>82170.0</v>
      </c>
      <c r="B678" s="29" t="s">
        <v>743</v>
      </c>
      <c r="C678" s="29" t="s">
        <v>750</v>
      </c>
      <c r="D678" s="7" t="str">
        <f t="shared" si="1"/>
        <v>South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8">
        <v>82180.0</v>
      </c>
      <c r="B679" s="29" t="s">
        <v>743</v>
      </c>
      <c r="C679" s="29" t="s">
        <v>751</v>
      </c>
      <c r="D679" s="7" t="str">
        <f t="shared" si="1"/>
        <v>South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8">
        <v>83000.0</v>
      </c>
      <c r="B680" s="29" t="s">
        <v>752</v>
      </c>
      <c r="C680" s="29" t="s">
        <v>753</v>
      </c>
      <c r="D680" s="7" t="str">
        <f t="shared" si="1"/>
        <v>South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8">
        <v>83110.0</v>
      </c>
      <c r="B681" s="29" t="s">
        <v>752</v>
      </c>
      <c r="C681" s="29" t="s">
        <v>754</v>
      </c>
      <c r="D681" s="7" t="str">
        <f t="shared" si="1"/>
        <v>South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8">
        <v>83120.0</v>
      </c>
      <c r="B682" s="29" t="s">
        <v>752</v>
      </c>
      <c r="C682" s="29" t="s">
        <v>755</v>
      </c>
      <c r="D682" s="7" t="str">
        <f t="shared" si="1"/>
        <v>South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8">
        <v>84000.0</v>
      </c>
      <c r="B683" s="29" t="s">
        <v>756</v>
      </c>
      <c r="C683" s="29" t="s">
        <v>757</v>
      </c>
      <c r="D683" s="7" t="str">
        <f t="shared" si="1"/>
        <v>South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8">
        <v>84110.0</v>
      </c>
      <c r="B684" s="29" t="s">
        <v>756</v>
      </c>
      <c r="C684" s="29" t="s">
        <v>758</v>
      </c>
      <c r="D684" s="7" t="str">
        <f t="shared" si="1"/>
        <v>South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8">
        <v>84120.0</v>
      </c>
      <c r="B685" s="29" t="s">
        <v>756</v>
      </c>
      <c r="C685" s="29" t="s">
        <v>759</v>
      </c>
      <c r="D685" s="7" t="str">
        <f t="shared" si="1"/>
        <v>South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8">
        <v>84130.0</v>
      </c>
      <c r="B686" s="29" t="s">
        <v>756</v>
      </c>
      <c r="C686" s="29" t="s">
        <v>760</v>
      </c>
      <c r="D686" s="7" t="str">
        <f t="shared" si="1"/>
        <v>South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8">
        <v>84140.0</v>
      </c>
      <c r="B687" s="29" t="s">
        <v>756</v>
      </c>
      <c r="C687" s="29" t="s">
        <v>761</v>
      </c>
      <c r="D687" s="7" t="str">
        <f t="shared" si="1"/>
        <v>South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8">
        <v>84150.0</v>
      </c>
      <c r="B688" s="29" t="s">
        <v>756</v>
      </c>
      <c r="C688" s="29" t="s">
        <v>105</v>
      </c>
      <c r="D688" s="7" t="str">
        <f t="shared" si="1"/>
        <v>South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8">
        <v>84160.0</v>
      </c>
      <c r="B689" s="29" t="s">
        <v>756</v>
      </c>
      <c r="C689" s="29" t="s">
        <v>762</v>
      </c>
      <c r="D689" s="7" t="str">
        <f t="shared" si="1"/>
        <v>South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8">
        <v>84170.0</v>
      </c>
      <c r="B690" s="29" t="s">
        <v>756</v>
      </c>
      <c r="C690" s="29" t="s">
        <v>763</v>
      </c>
      <c r="D690" s="7" t="str">
        <f t="shared" si="1"/>
        <v>South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8">
        <v>84180.0</v>
      </c>
      <c r="B691" s="29" t="s">
        <v>756</v>
      </c>
      <c r="C691" s="29" t="s">
        <v>764</v>
      </c>
      <c r="D691" s="7" t="str">
        <f t="shared" si="1"/>
        <v>South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8">
        <v>84190.0</v>
      </c>
      <c r="B692" s="29" t="s">
        <v>756</v>
      </c>
      <c r="C692" s="29" t="s">
        <v>521</v>
      </c>
      <c r="D692" s="7" t="str">
        <f t="shared" si="1"/>
        <v>South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8">
        <v>84210.0</v>
      </c>
      <c r="B693" s="29" t="s">
        <v>756</v>
      </c>
      <c r="C693" s="29" t="s">
        <v>765</v>
      </c>
      <c r="D693" s="7" t="str">
        <f t="shared" si="1"/>
        <v>South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8">
        <v>84220.0</v>
      </c>
      <c r="B694" s="29" t="s">
        <v>756</v>
      </c>
      <c r="C694" s="29" t="s">
        <v>766</v>
      </c>
      <c r="D694" s="7" t="str">
        <f t="shared" si="1"/>
        <v>South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8">
        <v>84230.0</v>
      </c>
      <c r="B695" s="29" t="s">
        <v>756</v>
      </c>
      <c r="C695" s="29" t="s">
        <v>767</v>
      </c>
      <c r="D695" s="7" t="str">
        <f t="shared" si="1"/>
        <v>South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8">
        <v>84240.0</v>
      </c>
      <c r="B696" s="29" t="s">
        <v>756</v>
      </c>
      <c r="C696" s="29" t="s">
        <v>768</v>
      </c>
      <c r="D696" s="7" t="str">
        <f t="shared" si="1"/>
        <v>South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8">
        <v>84250.0</v>
      </c>
      <c r="B697" s="29" t="s">
        <v>756</v>
      </c>
      <c r="C697" s="29" t="s">
        <v>769</v>
      </c>
      <c r="D697" s="7" t="str">
        <f t="shared" si="1"/>
        <v>South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8">
        <v>84260.0</v>
      </c>
      <c r="B698" s="29" t="s">
        <v>756</v>
      </c>
      <c r="C698" s="29" t="s">
        <v>770</v>
      </c>
      <c r="D698" s="7" t="str">
        <f t="shared" si="1"/>
        <v>South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8">
        <v>84280.0</v>
      </c>
      <c r="B699" s="29" t="s">
        <v>756</v>
      </c>
      <c r="C699" s="29" t="s">
        <v>771</v>
      </c>
      <c r="D699" s="7" t="str">
        <f t="shared" si="1"/>
        <v>South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8">
        <v>85000.0</v>
      </c>
      <c r="B700" s="29" t="s">
        <v>772</v>
      </c>
      <c r="C700" s="29" t="s">
        <v>773</v>
      </c>
      <c r="D700" s="7" t="str">
        <f t="shared" si="1"/>
        <v>South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8">
        <v>85110.0</v>
      </c>
      <c r="B701" s="29" t="s">
        <v>772</v>
      </c>
      <c r="C701" s="29" t="s">
        <v>774</v>
      </c>
      <c r="D701" s="7" t="str">
        <f t="shared" si="1"/>
        <v>South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8">
        <v>85120.0</v>
      </c>
      <c r="B702" s="29" t="s">
        <v>772</v>
      </c>
      <c r="C702" s="29" t="s">
        <v>775</v>
      </c>
      <c r="D702" s="7" t="str">
        <f t="shared" si="1"/>
        <v>South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8">
        <v>85130.0</v>
      </c>
      <c r="B703" s="29" t="s">
        <v>772</v>
      </c>
      <c r="C703" s="29" t="s">
        <v>776</v>
      </c>
      <c r="D703" s="7" t="str">
        <f t="shared" si="1"/>
        <v>South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8">
        <v>86000.0</v>
      </c>
      <c r="B704" s="29" t="s">
        <v>777</v>
      </c>
      <c r="C704" s="29" t="s">
        <v>778</v>
      </c>
      <c r="D704" s="7" t="str">
        <f t="shared" si="1"/>
        <v>South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8">
        <v>86110.0</v>
      </c>
      <c r="B705" s="29" t="s">
        <v>777</v>
      </c>
      <c r="C705" s="29" t="s">
        <v>779</v>
      </c>
      <c r="D705" s="7" t="str">
        <f t="shared" si="1"/>
        <v>South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8">
        <v>86130.0</v>
      </c>
      <c r="B706" s="29" t="s">
        <v>777</v>
      </c>
      <c r="C706" s="29" t="s">
        <v>780</v>
      </c>
      <c r="D706" s="7" t="str">
        <f t="shared" si="1"/>
        <v>South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8">
        <v>86140.0</v>
      </c>
      <c r="B707" s="29" t="s">
        <v>777</v>
      </c>
      <c r="C707" s="29" t="s">
        <v>781</v>
      </c>
      <c r="D707" s="7" t="str">
        <f t="shared" si="1"/>
        <v>South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8">
        <v>86160.0</v>
      </c>
      <c r="B708" s="29" t="s">
        <v>777</v>
      </c>
      <c r="C708" s="29" t="s">
        <v>782</v>
      </c>
      <c r="D708" s="7" t="str">
        <f t="shared" si="1"/>
        <v>South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8">
        <v>86170.0</v>
      </c>
      <c r="B709" s="29" t="s">
        <v>777</v>
      </c>
      <c r="C709" s="29" t="s">
        <v>783</v>
      </c>
      <c r="D709" s="7" t="str">
        <f t="shared" si="1"/>
        <v>South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8">
        <v>86180.0</v>
      </c>
      <c r="B710" s="29" t="s">
        <v>777</v>
      </c>
      <c r="C710" s="29" t="s">
        <v>784</v>
      </c>
      <c r="D710" s="7" t="str">
        <f t="shared" si="1"/>
        <v>South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8">
        <v>86220.0</v>
      </c>
      <c r="B711" s="29" t="s">
        <v>777</v>
      </c>
      <c r="C711" s="29" t="s">
        <v>785</v>
      </c>
      <c r="D711" s="7" t="str">
        <f t="shared" si="1"/>
        <v>South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8">
        <v>90000.0</v>
      </c>
      <c r="B712" s="29" t="s">
        <v>786</v>
      </c>
      <c r="C712" s="29" t="s">
        <v>787</v>
      </c>
      <c r="D712" s="7" t="str">
        <f t="shared" si="1"/>
        <v>South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8">
        <v>90110.0</v>
      </c>
      <c r="B713" s="29" t="s">
        <v>786</v>
      </c>
      <c r="C713" s="29" t="s">
        <v>788</v>
      </c>
      <c r="D713" s="7" t="str">
        <f t="shared" si="1"/>
        <v>South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8">
        <v>90120.0</v>
      </c>
      <c r="B714" s="29" t="s">
        <v>786</v>
      </c>
      <c r="C714" s="29" t="s">
        <v>789</v>
      </c>
      <c r="D714" s="7" t="str">
        <f t="shared" si="1"/>
        <v>South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8">
        <v>90130.0</v>
      </c>
      <c r="B715" s="29" t="s">
        <v>786</v>
      </c>
      <c r="C715" s="29" t="s">
        <v>790</v>
      </c>
      <c r="D715" s="7" t="str">
        <f t="shared" si="1"/>
        <v>South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8">
        <v>90140.0</v>
      </c>
      <c r="B716" s="29" t="s">
        <v>786</v>
      </c>
      <c r="C716" s="29" t="s">
        <v>791</v>
      </c>
      <c r="D716" s="7" t="str">
        <f t="shared" si="1"/>
        <v>South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8">
        <v>90150.0</v>
      </c>
      <c r="B717" s="29" t="s">
        <v>786</v>
      </c>
      <c r="C717" s="29" t="s">
        <v>792</v>
      </c>
      <c r="D717" s="7" t="str">
        <f t="shared" si="1"/>
        <v>South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8">
        <v>90160.0</v>
      </c>
      <c r="B718" s="29" t="s">
        <v>786</v>
      </c>
      <c r="C718" s="29" t="s">
        <v>793</v>
      </c>
      <c r="D718" s="7" t="str">
        <f t="shared" si="1"/>
        <v>South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8">
        <v>90180.0</v>
      </c>
      <c r="B719" s="29" t="s">
        <v>786</v>
      </c>
      <c r="C719" s="29" t="s">
        <v>794</v>
      </c>
      <c r="D719" s="7" t="str">
        <f t="shared" si="1"/>
        <v>South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8">
        <v>90190.0</v>
      </c>
      <c r="B720" s="29" t="s">
        <v>786</v>
      </c>
      <c r="C720" s="29" t="s">
        <v>795</v>
      </c>
      <c r="D720" s="7" t="str">
        <f t="shared" si="1"/>
        <v>South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8">
        <v>90210.0</v>
      </c>
      <c r="B721" s="29" t="s">
        <v>786</v>
      </c>
      <c r="C721" s="29" t="s">
        <v>796</v>
      </c>
      <c r="D721" s="7" t="str">
        <f t="shared" si="1"/>
        <v>South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8">
        <v>90220.0</v>
      </c>
      <c r="B722" s="29" t="s">
        <v>786</v>
      </c>
      <c r="C722" s="29" t="s">
        <v>797</v>
      </c>
      <c r="D722" s="7" t="str">
        <f t="shared" si="1"/>
        <v>South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8">
        <v>90230.0</v>
      </c>
      <c r="B723" s="29" t="s">
        <v>786</v>
      </c>
      <c r="C723" s="29" t="s">
        <v>798</v>
      </c>
      <c r="D723" s="7" t="str">
        <f t="shared" si="1"/>
        <v>South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8">
        <v>90270.0</v>
      </c>
      <c r="B724" s="29" t="s">
        <v>786</v>
      </c>
      <c r="C724" s="29" t="s">
        <v>799</v>
      </c>
      <c r="D724" s="7" t="str">
        <f t="shared" si="1"/>
        <v>South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8">
        <v>90310.0</v>
      </c>
      <c r="B725" s="29" t="s">
        <v>786</v>
      </c>
      <c r="C725" s="29" t="s">
        <v>800</v>
      </c>
      <c r="D725" s="7" t="str">
        <f t="shared" si="1"/>
        <v>South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8">
        <v>90330.0</v>
      </c>
      <c r="B726" s="29" t="s">
        <v>786</v>
      </c>
      <c r="C726" s="29" t="s">
        <v>801</v>
      </c>
      <c r="D726" s="7" t="str">
        <f t="shared" si="1"/>
        <v>South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8">
        <v>91000.0</v>
      </c>
      <c r="B727" s="29" t="s">
        <v>802</v>
      </c>
      <c r="C727" s="29" t="s">
        <v>803</v>
      </c>
      <c r="D727" s="7" t="str">
        <f t="shared" si="1"/>
        <v>South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8">
        <v>91110.0</v>
      </c>
      <c r="B728" s="29" t="s">
        <v>802</v>
      </c>
      <c r="C728" s="29" t="s">
        <v>804</v>
      </c>
      <c r="D728" s="7" t="str">
        <f t="shared" si="1"/>
        <v>South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8">
        <v>91120.0</v>
      </c>
      <c r="B729" s="29" t="s">
        <v>802</v>
      </c>
      <c r="C729" s="29" t="s">
        <v>805</v>
      </c>
      <c r="D729" s="7" t="str">
        <f t="shared" si="1"/>
        <v>South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8">
        <v>91130.0</v>
      </c>
      <c r="B730" s="29" t="s">
        <v>802</v>
      </c>
      <c r="C730" s="29" t="s">
        <v>806</v>
      </c>
      <c r="D730" s="7" t="str">
        <f t="shared" si="1"/>
        <v>South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8">
        <v>91150.0</v>
      </c>
      <c r="B731" s="29" t="s">
        <v>802</v>
      </c>
      <c r="C731" s="29" t="s">
        <v>807</v>
      </c>
      <c r="D731" s="7" t="str">
        <f t="shared" si="1"/>
        <v>South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8">
        <v>91160.0</v>
      </c>
      <c r="B732" s="29" t="s">
        <v>802</v>
      </c>
      <c r="C732" s="29" t="s">
        <v>808</v>
      </c>
      <c r="D732" s="7" t="str">
        <f t="shared" si="1"/>
        <v>South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8">
        <v>92000.0</v>
      </c>
      <c r="B733" s="29" t="s">
        <v>809</v>
      </c>
      <c r="C733" s="29" t="s">
        <v>810</v>
      </c>
      <c r="D733" s="7" t="str">
        <f t="shared" si="1"/>
        <v>South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8">
        <v>92110.0</v>
      </c>
      <c r="B734" s="29" t="s">
        <v>809</v>
      </c>
      <c r="C734" s="29" t="s">
        <v>811</v>
      </c>
      <c r="D734" s="7" t="str">
        <f t="shared" si="1"/>
        <v>South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8">
        <v>92120.0</v>
      </c>
      <c r="B735" s="29" t="s">
        <v>809</v>
      </c>
      <c r="C735" s="29" t="s">
        <v>812</v>
      </c>
      <c r="D735" s="7" t="str">
        <f t="shared" si="1"/>
        <v>South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8">
        <v>92130.0</v>
      </c>
      <c r="B736" s="29" t="s">
        <v>809</v>
      </c>
      <c r="C736" s="29" t="s">
        <v>813</v>
      </c>
      <c r="D736" s="7" t="str">
        <f t="shared" si="1"/>
        <v>South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8">
        <v>92140.0</v>
      </c>
      <c r="B737" s="29" t="s">
        <v>809</v>
      </c>
      <c r="C737" s="29" t="s">
        <v>814</v>
      </c>
      <c r="D737" s="7" t="str">
        <f t="shared" si="1"/>
        <v>South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8">
        <v>92150.0</v>
      </c>
      <c r="B738" s="29" t="s">
        <v>809</v>
      </c>
      <c r="C738" s="29" t="s">
        <v>815</v>
      </c>
      <c r="D738" s="7" t="str">
        <f t="shared" si="1"/>
        <v>South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8">
        <v>92160.0</v>
      </c>
      <c r="B739" s="29" t="s">
        <v>809</v>
      </c>
      <c r="C739" s="29" t="s">
        <v>816</v>
      </c>
      <c r="D739" s="7" t="str">
        <f t="shared" si="1"/>
        <v>South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8">
        <v>92170.0</v>
      </c>
      <c r="B740" s="29" t="s">
        <v>809</v>
      </c>
      <c r="C740" s="29" t="s">
        <v>817</v>
      </c>
      <c r="D740" s="7" t="str">
        <f t="shared" si="1"/>
        <v>South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8">
        <v>92220.0</v>
      </c>
      <c r="B741" s="29" t="s">
        <v>809</v>
      </c>
      <c r="C741" s="29" t="s">
        <v>818</v>
      </c>
      <c r="D741" s="7" t="str">
        <f t="shared" si="1"/>
        <v>South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8">
        <v>93000.0</v>
      </c>
      <c r="B742" s="29" t="s">
        <v>819</v>
      </c>
      <c r="C742" s="29" t="s">
        <v>820</v>
      </c>
      <c r="D742" s="7" t="str">
        <f t="shared" si="1"/>
        <v>South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8">
        <v>93110.0</v>
      </c>
      <c r="B743" s="29" t="s">
        <v>819</v>
      </c>
      <c r="C743" s="29" t="s">
        <v>821</v>
      </c>
      <c r="D743" s="7" t="str">
        <f t="shared" si="1"/>
        <v>South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8">
        <v>93120.0</v>
      </c>
      <c r="B744" s="29" t="s">
        <v>819</v>
      </c>
      <c r="C744" s="29" t="s">
        <v>822</v>
      </c>
      <c r="D744" s="7" t="str">
        <f t="shared" si="1"/>
        <v>South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8">
        <v>93130.0</v>
      </c>
      <c r="B745" s="29" t="s">
        <v>819</v>
      </c>
      <c r="C745" s="29" t="s">
        <v>823</v>
      </c>
      <c r="D745" s="7" t="str">
        <f t="shared" si="1"/>
        <v>South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8">
        <v>93140.0</v>
      </c>
      <c r="B746" s="29" t="s">
        <v>819</v>
      </c>
      <c r="C746" s="29" t="s">
        <v>824</v>
      </c>
      <c r="D746" s="7" t="str">
        <f t="shared" si="1"/>
        <v>South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8">
        <v>93160.0</v>
      </c>
      <c r="B747" s="29" t="s">
        <v>819</v>
      </c>
      <c r="C747" s="29" t="s">
        <v>825</v>
      </c>
      <c r="D747" s="7" t="str">
        <f t="shared" si="1"/>
        <v>South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8">
        <v>93170.0</v>
      </c>
      <c r="B748" s="29" t="s">
        <v>819</v>
      </c>
      <c r="C748" s="29" t="s">
        <v>826</v>
      </c>
      <c r="D748" s="7" t="str">
        <f t="shared" si="1"/>
        <v>South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8">
        <v>93180.0</v>
      </c>
      <c r="B749" s="29" t="s">
        <v>819</v>
      </c>
      <c r="C749" s="29" t="s">
        <v>827</v>
      </c>
      <c r="D749" s="7" t="str">
        <f t="shared" si="1"/>
        <v>South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8">
        <v>93190.0</v>
      </c>
      <c r="B750" s="29" t="s">
        <v>819</v>
      </c>
      <c r="C750" s="29" t="s">
        <v>828</v>
      </c>
      <c r="D750" s="7" t="str">
        <f t="shared" si="1"/>
        <v>South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8">
        <v>94000.0</v>
      </c>
      <c r="B751" s="29" t="s">
        <v>829</v>
      </c>
      <c r="C751" s="29" t="s">
        <v>830</v>
      </c>
      <c r="D751" s="7" t="str">
        <f t="shared" si="1"/>
        <v>South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8">
        <v>94110.0</v>
      </c>
      <c r="B752" s="29" t="s">
        <v>829</v>
      </c>
      <c r="C752" s="29" t="s">
        <v>831</v>
      </c>
      <c r="D752" s="7" t="str">
        <f t="shared" si="1"/>
        <v>South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8">
        <v>94120.0</v>
      </c>
      <c r="B753" s="29" t="s">
        <v>829</v>
      </c>
      <c r="C753" s="29" t="s">
        <v>832</v>
      </c>
      <c r="D753" s="7" t="str">
        <f t="shared" si="1"/>
        <v>South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8">
        <v>94130.0</v>
      </c>
      <c r="B754" s="29" t="s">
        <v>829</v>
      </c>
      <c r="C754" s="29" t="s">
        <v>833</v>
      </c>
      <c r="D754" s="7" t="str">
        <f t="shared" si="1"/>
        <v>South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8">
        <v>94140.0</v>
      </c>
      <c r="B755" s="29" t="s">
        <v>829</v>
      </c>
      <c r="C755" s="29" t="s">
        <v>834</v>
      </c>
      <c r="D755" s="7" t="str">
        <f t="shared" si="1"/>
        <v>South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8">
        <v>94150.0</v>
      </c>
      <c r="B756" s="29" t="s">
        <v>829</v>
      </c>
      <c r="C756" s="29" t="s">
        <v>835</v>
      </c>
      <c r="D756" s="7" t="str">
        <f t="shared" si="1"/>
        <v>South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8">
        <v>94160.0</v>
      </c>
      <c r="B757" s="29" t="s">
        <v>829</v>
      </c>
      <c r="C757" s="29" t="s">
        <v>836</v>
      </c>
      <c r="D757" s="7" t="str">
        <f t="shared" si="1"/>
        <v>South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8">
        <v>94170.0</v>
      </c>
      <c r="B758" s="29" t="s">
        <v>829</v>
      </c>
      <c r="C758" s="29" t="s">
        <v>837</v>
      </c>
      <c r="D758" s="7" t="str">
        <f t="shared" si="1"/>
        <v>South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8">
        <v>94180.0</v>
      </c>
      <c r="B759" s="29" t="s">
        <v>829</v>
      </c>
      <c r="C759" s="29" t="s">
        <v>838</v>
      </c>
      <c r="D759" s="7" t="str">
        <f t="shared" si="1"/>
        <v>South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8">
        <v>94220.0</v>
      </c>
      <c r="B760" s="29" t="s">
        <v>829</v>
      </c>
      <c r="C760" s="29" t="s">
        <v>839</v>
      </c>
      <c r="D760" s="7" t="str">
        <f t="shared" si="1"/>
        <v>South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8">
        <v>94230.0</v>
      </c>
      <c r="B761" s="29" t="s">
        <v>829</v>
      </c>
      <c r="C761" s="29" t="s">
        <v>840</v>
      </c>
      <c r="D761" s="7" t="str">
        <f t="shared" si="1"/>
        <v>South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8">
        <v>95000.0</v>
      </c>
      <c r="B762" s="29" t="s">
        <v>841</v>
      </c>
      <c r="C762" s="29" t="s">
        <v>842</v>
      </c>
      <c r="D762" s="7" t="str">
        <f t="shared" si="1"/>
        <v>South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8">
        <v>95110.0</v>
      </c>
      <c r="B763" s="29" t="s">
        <v>841</v>
      </c>
      <c r="C763" s="29" t="s">
        <v>843</v>
      </c>
      <c r="D763" s="7" t="str">
        <f t="shared" si="1"/>
        <v>South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8">
        <v>95120.0</v>
      </c>
      <c r="B764" s="29" t="s">
        <v>841</v>
      </c>
      <c r="C764" s="29" t="s">
        <v>844</v>
      </c>
      <c r="D764" s="7" t="str">
        <f t="shared" si="1"/>
        <v>South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8">
        <v>95130.0</v>
      </c>
      <c r="B765" s="29" t="s">
        <v>841</v>
      </c>
      <c r="C765" s="29" t="s">
        <v>845</v>
      </c>
      <c r="D765" s="7" t="str">
        <f t="shared" si="1"/>
        <v>South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8">
        <v>95140.0</v>
      </c>
      <c r="B766" s="29" t="s">
        <v>841</v>
      </c>
      <c r="C766" s="29" t="s">
        <v>846</v>
      </c>
      <c r="D766" s="7" t="str">
        <f t="shared" si="1"/>
        <v>South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8">
        <v>95150.0</v>
      </c>
      <c r="B767" s="29" t="s">
        <v>841</v>
      </c>
      <c r="C767" s="29" t="s">
        <v>847</v>
      </c>
      <c r="D767" s="7" t="str">
        <f t="shared" si="1"/>
        <v>South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8">
        <v>96000.0</v>
      </c>
      <c r="B768" s="29" t="s">
        <v>848</v>
      </c>
      <c r="C768" s="29" t="s">
        <v>849</v>
      </c>
      <c r="D768" s="7" t="str">
        <f t="shared" si="1"/>
        <v>South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8">
        <v>96110.0</v>
      </c>
      <c r="B769" s="29" t="s">
        <v>848</v>
      </c>
      <c r="C769" s="29" t="s">
        <v>850</v>
      </c>
      <c r="D769" s="7" t="str">
        <f t="shared" si="1"/>
        <v>South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8">
        <v>96120.0</v>
      </c>
      <c r="B770" s="29" t="s">
        <v>848</v>
      </c>
      <c r="C770" s="29" t="s">
        <v>851</v>
      </c>
      <c r="D770" s="7" t="str">
        <f t="shared" si="1"/>
        <v>South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8">
        <v>96130.0</v>
      </c>
      <c r="B771" s="29" t="s">
        <v>848</v>
      </c>
      <c r="C771" s="29" t="s">
        <v>852</v>
      </c>
      <c r="D771" s="7" t="str">
        <f t="shared" si="1"/>
        <v>South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8">
        <v>96140.0</v>
      </c>
      <c r="B772" s="29" t="s">
        <v>848</v>
      </c>
      <c r="C772" s="29" t="s">
        <v>853</v>
      </c>
      <c r="D772" s="7" t="str">
        <f t="shared" si="1"/>
        <v>South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8">
        <v>96150.0</v>
      </c>
      <c r="B773" s="29" t="s">
        <v>848</v>
      </c>
      <c r="C773" s="29" t="s">
        <v>854</v>
      </c>
      <c r="D773" s="7" t="str">
        <f t="shared" si="1"/>
        <v>South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8">
        <v>96160.0</v>
      </c>
      <c r="B774" s="29" t="s">
        <v>848</v>
      </c>
      <c r="C774" s="29" t="s">
        <v>855</v>
      </c>
      <c r="D774" s="7" t="str">
        <f t="shared" si="1"/>
        <v>South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8">
        <v>96170.0</v>
      </c>
      <c r="B775" s="29" t="s">
        <v>848</v>
      </c>
      <c r="C775" s="29" t="s">
        <v>856</v>
      </c>
      <c r="D775" s="7" t="str">
        <f t="shared" si="1"/>
        <v>South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8">
        <v>96180.0</v>
      </c>
      <c r="B776" s="29" t="s">
        <v>848</v>
      </c>
      <c r="C776" s="29" t="s">
        <v>857</v>
      </c>
      <c r="D776" s="7" t="str">
        <f t="shared" si="1"/>
        <v>South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8">
        <v>96190.0</v>
      </c>
      <c r="B777" s="29" t="s">
        <v>848</v>
      </c>
      <c r="C777" s="29" t="s">
        <v>858</v>
      </c>
      <c r="D777" s="7" t="str">
        <f t="shared" si="1"/>
        <v>South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8">
        <v>96210.0</v>
      </c>
      <c r="B778" s="29" t="s">
        <v>848</v>
      </c>
      <c r="C778" s="29" t="s">
        <v>859</v>
      </c>
      <c r="D778" s="7" t="str">
        <f t="shared" si="1"/>
        <v>South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8">
        <v>96220.0</v>
      </c>
      <c r="B779" s="29" t="s">
        <v>848</v>
      </c>
      <c r="C779" s="29" t="s">
        <v>860</v>
      </c>
      <c r="D779" s="7" t="str">
        <f t="shared" si="1"/>
        <v>South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drawing r:id="rId1"/>
</worksheet>
</file>